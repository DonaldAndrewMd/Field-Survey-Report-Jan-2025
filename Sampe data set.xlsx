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CD46B02-8617-4AF0-86CA-DCCB637DBC23}" xr6:coauthVersionLast="47" xr6:coauthVersionMax="47" xr10:uidLastSave="{00000000-0000-0000-0000-000000000000}"/>
  <bookViews>
    <workbookView xWindow="-110" yWindow="-110" windowWidth="19420" windowHeight="10540" xr2:uid="{238DA28B-4764-4EE8-897D-CDB3E121D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Z16" i="1" l="1" a="1"/>
  <c r="BZ16" i="1" s="1"/>
  <c r="BZ15" i="1" a="1"/>
  <c r="BZ15" i="1" s="1"/>
  <c r="BZ14" i="1" a="1"/>
  <c r="BZ14" i="1" s="1"/>
  <c r="BZ13" i="1" a="1"/>
  <c r="BZ13" i="1" s="1"/>
  <c r="BZ12" i="1" a="1"/>
  <c r="BZ12" i="1" s="1"/>
  <c r="BZ11" i="1" a="1"/>
  <c r="BZ11" i="1" s="1"/>
  <c r="BZ10" i="1" a="1"/>
  <c r="BZ10" i="1" s="1"/>
  <c r="BZ9" i="1" a="1"/>
  <c r="BZ9" i="1" s="1"/>
  <c r="BZ8" i="1" a="1"/>
  <c r="BZ8" i="1" s="1"/>
  <c r="BZ7" i="1" a="1"/>
  <c r="BZ7" i="1" s="1"/>
  <c r="BZ6" i="1" a="1"/>
  <c r="BZ6" i="1" s="1"/>
  <c r="BZ5" i="1" a="1"/>
  <c r="BZ5" i="1" s="1"/>
  <c r="BZ4" i="1" a="1"/>
  <c r="BZ4" i="1" s="1"/>
  <c r="BZ3" i="1" a="1"/>
  <c r="BZ3" i="1" s="1"/>
  <c r="BZ2" i="1" a="1"/>
  <c r="BZ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<sst xmlns="http://schemas.openxmlformats.org/spreadsheetml/2006/main" count="1047" uniqueCount="214">
  <si>
    <t>Timestamp</t>
  </si>
  <si>
    <t>RESID</t>
  </si>
  <si>
    <t>Age of mother (In years)</t>
  </si>
  <si>
    <t>State of Origin</t>
  </si>
  <si>
    <t xml:space="preserve">Religion </t>
  </si>
  <si>
    <t xml:space="preserve">Highest Educational level </t>
  </si>
  <si>
    <t xml:space="preserve">Occupation </t>
  </si>
  <si>
    <t xml:space="preserve">Marital status </t>
  </si>
  <si>
    <t>Husband/Partners age(in years)</t>
  </si>
  <si>
    <t>Husband/partners highest level of education</t>
  </si>
  <si>
    <t xml:space="preserve">Husband/partners occupation </t>
  </si>
  <si>
    <t xml:space="preserve">Estimated monthly income </t>
  </si>
  <si>
    <t>House type</t>
  </si>
  <si>
    <t>Vehicle type</t>
  </si>
  <si>
    <t>Mobile phone</t>
  </si>
  <si>
    <t>Television</t>
  </si>
  <si>
    <t xml:space="preserve">Personal computer </t>
  </si>
  <si>
    <t>Radio</t>
  </si>
  <si>
    <t>cable tv</t>
  </si>
  <si>
    <t xml:space="preserve">Electricity </t>
  </si>
  <si>
    <t>Microwave oven</t>
  </si>
  <si>
    <t>Fridge/Freezer</t>
  </si>
  <si>
    <t>Ceiling/standing fans</t>
  </si>
  <si>
    <t xml:space="preserve">Bank account </t>
  </si>
  <si>
    <t>Internet acess</t>
  </si>
  <si>
    <t>Generator set</t>
  </si>
  <si>
    <t>Air Conditioner</t>
  </si>
  <si>
    <t>Own land/Farm land</t>
  </si>
  <si>
    <t>Domestic servant</t>
  </si>
  <si>
    <t xml:space="preserve">Health insurance </t>
  </si>
  <si>
    <t xml:space="preserve">Total number of children in the household </t>
  </si>
  <si>
    <t>Number of children under the age of 5</t>
  </si>
  <si>
    <t xml:space="preserve">Age of the last child at last birthday </t>
  </si>
  <si>
    <t>Gender</t>
  </si>
  <si>
    <t xml:space="preserve">Place of antenatal </t>
  </si>
  <si>
    <t>Place of birth</t>
  </si>
  <si>
    <t xml:space="preserve">Number of siblings </t>
  </si>
  <si>
    <t xml:space="preserve">What is the first food a new born should receive </t>
  </si>
  <si>
    <t>Have you ever breastfed?</t>
  </si>
  <si>
    <t>When should breastfeeding of a baby commence once a baby is born</t>
  </si>
  <si>
    <t>Is colostrum useful?</t>
  </si>
  <si>
    <t>Have you ever heard of exclusive breast feeding (EBF)</t>
  </si>
  <si>
    <t>what is the meaning of exclusive breast feeding?</t>
  </si>
  <si>
    <t>For how long should a baby be exclusively breastfed?</t>
  </si>
  <si>
    <t>When should breastfeeding stop?</t>
  </si>
  <si>
    <t>Do you feel that breast milk alone is adequate for a baby for the first 6 months of life?</t>
  </si>
  <si>
    <t>What is complementary feeding?</t>
  </si>
  <si>
    <t>How did you know about complementary feeding?</t>
  </si>
  <si>
    <t>What age should complementary feeding be introduced?</t>
  </si>
  <si>
    <t>How frequently should a child breast feed after they start other feeds?</t>
  </si>
  <si>
    <t>which of the items listed is appropriate in giving complementary feed to a child?</t>
  </si>
  <si>
    <t>Do you feel a working mother can breast feed her baby while at work?</t>
  </si>
  <si>
    <t>Can expressed breast milk be preserved for later use?</t>
  </si>
  <si>
    <t>How soon after delivery did you start breastfeeding?</t>
  </si>
  <si>
    <t>Did you give feed/fluids to your child before you started breastfeeding?</t>
  </si>
  <si>
    <t>If yes,why did you give any fluids or feeds before you started breastfeeding?</t>
  </si>
  <si>
    <t>Was this child exclusively breastfed?</t>
  </si>
  <si>
    <t>If no,what was the reason this child stopped exclusive breastfeeding?</t>
  </si>
  <si>
    <t>Have you introduced complementary feeding?(if yes go to the next question,if no go to section E)</t>
  </si>
  <si>
    <t>How old was this child when the first complementary feed was offered?</t>
  </si>
  <si>
    <t>What complementary feed was offered?</t>
  </si>
  <si>
    <t>When do you feed your child?</t>
  </si>
  <si>
    <t>What do you do when this child refuses to eat?</t>
  </si>
  <si>
    <t>Which of these foods did this child eat yesterday (day and night)?</t>
  </si>
  <si>
    <t xml:space="preserve">Do you add salt to your childâ€™s food </t>
  </si>
  <si>
    <t>Do you add sugar to your childâ€™s food?</t>
  </si>
  <si>
    <t>What do you use to feed your child?</t>
  </si>
  <si>
    <t xml:space="preserve">who always feeds your child </t>
  </si>
  <si>
    <t>why havenâ€™t you introduced complementary feeding?</t>
  </si>
  <si>
    <t xml:space="preserve">Height (cm) Readings </t>
  </si>
  <si>
    <t xml:space="preserve">Height Interpretation </t>
  </si>
  <si>
    <t xml:space="preserve">weight(kg)
</t>
  </si>
  <si>
    <t xml:space="preserve">Weight Interpretation </t>
  </si>
  <si>
    <t>Mid upper arm circumference (cm)</t>
  </si>
  <si>
    <t xml:space="preserve">Mid upper arm circumference interpretation </t>
  </si>
  <si>
    <t>occipito-frontal circumference (Cm)</t>
  </si>
  <si>
    <t xml:space="preserve">Occipito frontal circumference interpretation </t>
  </si>
  <si>
    <t>Age in Months</t>
  </si>
  <si>
    <t>Age of the last child at last birthday  BACKUP</t>
  </si>
  <si>
    <t>2024/12/31 7:38:17 pm CET</t>
  </si>
  <si>
    <t>NE</t>
  </si>
  <si>
    <t>Christianity</t>
  </si>
  <si>
    <t>Tertiary</t>
  </si>
  <si>
    <t>Trader</t>
  </si>
  <si>
    <t>Married and Living with husband</t>
  </si>
  <si>
    <t>Business man</t>
  </si>
  <si>
    <t>36,001 - 75,000</t>
  </si>
  <si>
    <t>Self contained single room</t>
  </si>
  <si>
    <t>Saloon car/jeep/SUV</t>
  </si>
  <si>
    <t>Yes</t>
  </si>
  <si>
    <t>No</t>
  </si>
  <si>
    <t xml:space="preserve">4 years </t>
  </si>
  <si>
    <t>Female</t>
  </si>
  <si>
    <t>Government hospital</t>
  </si>
  <si>
    <t>Private hospital</t>
  </si>
  <si>
    <t>Breast milk</t>
  </si>
  <si>
    <t>Within 30 minutesâ€”1hr of delivery</t>
  </si>
  <si>
    <t>Giving the baby breast milk alone</t>
  </si>
  <si>
    <t>0-6 months</t>
  </si>
  <si>
    <t>12-14 months</t>
  </si>
  <si>
    <t>Introducing of semi-solids and solids to a childâ€™s diet with continued breastfeeding</t>
  </si>
  <si>
    <t>Family members/friends</t>
  </si>
  <si>
    <t>6 months</t>
  </si>
  <si>
    <t>As often as the child wants</t>
  </si>
  <si>
    <t>Bowl and spoon</t>
  </si>
  <si>
    <t>30 mins - 1 hour</t>
  </si>
  <si>
    <t xml:space="preserve">7 months </t>
  </si>
  <si>
    <t>Formula,pap</t>
  </si>
  <si>
    <t>Anytime the child shows a sign</t>
  </si>
  <si>
    <t>Not applicable.My child always eats</t>
  </si>
  <si>
    <t>Rice,bread,pasta,maize,pap(Ogi);Banana,oranges,mango,pineapple,watermelon;Soko,ugu,tomato,onion,green pepper;Fish,meat,poultry;Milk,cheese,yogurt,eggs;Tea</t>
  </si>
  <si>
    <t>Leave the child to feed him or herself</t>
  </si>
  <si>
    <t>Normal</t>
  </si>
  <si>
    <t>Underweight</t>
  </si>
  <si>
    <t>Risk of malnutrition</t>
  </si>
  <si>
    <t>2024/12/31 8:19:55 pm CET</t>
  </si>
  <si>
    <t>SS</t>
  </si>
  <si>
    <t>Secondary</t>
  </si>
  <si>
    <t>Sales girl</t>
  </si>
  <si>
    <t xml:space="preserve">Butcher </t>
  </si>
  <si>
    <t>18,000 - 36,000</t>
  </si>
  <si>
    <t>Shared facilities</t>
  </si>
  <si>
    <t>None</t>
  </si>
  <si>
    <t xml:space="preserve">3 years </t>
  </si>
  <si>
    <t>Male</t>
  </si>
  <si>
    <t>General hospital</t>
  </si>
  <si>
    <t>Giving the baby breast milk and clean water</t>
  </si>
  <si>
    <t>10-12 months</t>
  </si>
  <si>
    <t>Health workers</t>
  </si>
  <si>
    <t>I donâ€™t know</t>
  </si>
  <si>
    <t>Breast milk did not flow</t>
  </si>
  <si>
    <t xml:space="preserve">10 months </t>
  </si>
  <si>
    <t>Cerelac,pap,semo,rice</t>
  </si>
  <si>
    <t>Leave the child</t>
  </si>
  <si>
    <t>Rice,bread,pasta,maize,pap(Ogi);Yam,Potatoes,cassava(garri);Beans,groundnut,soybeans;Banana,oranges,mango,pineapple,watermelon;Fish,meat,poultry;Milk,cheese,yogurt,eggs;Tea</t>
  </si>
  <si>
    <t>Always myself</t>
  </si>
  <si>
    <t>2024/12/31 8:32:36 pm CET</t>
  </si>
  <si>
    <t>Islam</t>
  </si>
  <si>
    <t>Primary</t>
  </si>
  <si>
    <t>Food seller</t>
  </si>
  <si>
    <t>Bike man</t>
  </si>
  <si>
    <t>Motor bike</t>
  </si>
  <si>
    <t>Did not register</t>
  </si>
  <si>
    <t>After 1 hr</t>
  </si>
  <si>
    <t>I don't know</t>
  </si>
  <si>
    <t xml:space="preserve">6 months </t>
  </si>
  <si>
    <t xml:space="preserve">Pap,rice,amala,eba </t>
  </si>
  <si>
    <t>At scheduled times</t>
  </si>
  <si>
    <t>Force feed the child</t>
  </si>
  <si>
    <t>Rice,bread,pasta,maize,pap(Ogi);Yam,Potatoes,cassava(garri);Soko,ugu,tomato,onion,green pepper;Fish,meat,poultry;Milk,cheese,yogurt,eggs;Nan,cerelac;Tea</t>
  </si>
  <si>
    <t>2024/12/31 8:41:48 pm CET</t>
  </si>
  <si>
    <t>SW</t>
  </si>
  <si>
    <t xml:space="preserve">Makeup artist </t>
  </si>
  <si>
    <t>Sales man</t>
  </si>
  <si>
    <t xml:space="preserve">2 years </t>
  </si>
  <si>
    <t>Less than 30 minutes</t>
  </si>
  <si>
    <t>Pap</t>
  </si>
  <si>
    <t>Rice,bread,pasta,maize,pap(Ogi);Yam,Potatoes,cassava(garri);Beans,groundnut,soybeans;Banana,oranges,mango,pineapple,watermelon;Fish,meat,poultry;Milk,cheese,yogurt,eggs</t>
  </si>
  <si>
    <t>2024/12/31 8:49:28 pm CET</t>
  </si>
  <si>
    <t xml:space="preserve">Make up artist </t>
  </si>
  <si>
    <t>Not married and not living with spouse</t>
  </si>
  <si>
    <t xml:space="preserve">Not applicable </t>
  </si>
  <si>
    <t>Encourage the child to eat (with audio-visuals,petting)</t>
  </si>
  <si>
    <t>2024/12/31 9:24:06 pm CET</t>
  </si>
  <si>
    <t xml:space="preserve">Hair dresser </t>
  </si>
  <si>
    <t>Civil servant</t>
  </si>
  <si>
    <t>&gt;150,000</t>
  </si>
  <si>
    <t>&gt;2 bedrooms</t>
  </si>
  <si>
    <t xml:space="preserve">5 years </t>
  </si>
  <si>
    <t xml:space="preserve">Formula </t>
  </si>
  <si>
    <t>Rice,bread,pasta,maize,pap(Ogi);Yam,Potatoes,cassava(garri);Beans,groundnut,soybeans;Banana,oranges,mango,pineapple,watermelon;Soko,ugu,tomato,onion,green pepper;Fish,meat,poultry;Tea</t>
  </si>
  <si>
    <t>2024/12/31 9:32:07 pm CET</t>
  </si>
  <si>
    <t xml:space="preserve">Hairdresser </t>
  </si>
  <si>
    <t xml:space="preserve">Civil servant </t>
  </si>
  <si>
    <t>Private clinic or hospital</t>
  </si>
  <si>
    <t>2024/12/31 9:40:13 pm CET</t>
  </si>
  <si>
    <t>Rice,bread,pasta,maize,pap(Ogi);Beans,groundnut,soybeans;Banana,oranges,mango,pineapple,watermelon;Fish,meat,poultry;Milk,cheese,yogurt,eggs;Tea</t>
  </si>
  <si>
    <t>2024/12/31 9:52:04 pm CET</t>
  </si>
  <si>
    <t>75,001 - 150,000</t>
  </si>
  <si>
    <t>Truck/bus</t>
  </si>
  <si>
    <t>After 1 hour</t>
  </si>
  <si>
    <t xml:space="preserve">9 months </t>
  </si>
  <si>
    <t xml:space="preserve">Water,golden morn,custard,rice </t>
  </si>
  <si>
    <t>Rice,bread,pasta,maize,pap(Ogi);Yam,Potatoes,cassava(garri);Beans,groundnut,soybeans;Banana,oranges,mango,pineapple,watermelon;Soko,ugu,tomato,onion,green pepper;Fish,meat,poultry</t>
  </si>
  <si>
    <t>2024/12/31 10:05:53 pm CET</t>
  </si>
  <si>
    <t xml:space="preserve">Baker </t>
  </si>
  <si>
    <t>Tailor</t>
  </si>
  <si>
    <t>Feeding bottle</t>
  </si>
  <si>
    <t>2025/01/01 10:21:34 am CET</t>
  </si>
  <si>
    <t xml:space="preserve">Tailor </t>
  </si>
  <si>
    <t>The breast milk was not sufficient</t>
  </si>
  <si>
    <t xml:space="preserve">3 months </t>
  </si>
  <si>
    <t>Nan,cerelac;Breastmilk</t>
  </si>
  <si>
    <t>2025/01/01 10:29:20 am CET</t>
  </si>
  <si>
    <t>NC</t>
  </si>
  <si>
    <t>Hawker</t>
  </si>
  <si>
    <t xml:space="preserve">Trader </t>
  </si>
  <si>
    <t>1 year</t>
  </si>
  <si>
    <t>24 months</t>
  </si>
  <si>
    <t>Rice,bread,pasta,maize,pap(Ogi);Banana,oranges,mango,pineapple,watermelon;Milk,cheese,yogurt,eggs;Nan,cerelac;Breastmilk</t>
  </si>
  <si>
    <t>2025/01/01 11:06:34 am CET</t>
  </si>
  <si>
    <t xml:space="preserve">Hawker </t>
  </si>
  <si>
    <t>2025/01/01 1:38:24 pm CET</t>
  </si>
  <si>
    <t>SE</t>
  </si>
  <si>
    <t>Cook</t>
  </si>
  <si>
    <t>Pap,golden morn</t>
  </si>
  <si>
    <t>Offer the child his favorite food or another meal</t>
  </si>
  <si>
    <t>Rice,bread,pasta,maize,pap(Ogi);Banana,oranges,mango,pineapple,watermelon;Breastmilk</t>
  </si>
  <si>
    <t>2025/01/01 2:04:44 pm CET</t>
  </si>
  <si>
    <t>Market seller</t>
  </si>
  <si>
    <t xml:space="preserve">Mechanic </t>
  </si>
  <si>
    <t xml:space="preserve">4 months </t>
  </si>
  <si>
    <t>Giving the baby breast milk and infant formula</t>
  </si>
  <si>
    <t>Child is not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</si>
</sst>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B45C-8B91-4304-BDF2-30CF89A3F6D5}">
  <dimension ref="A1:CA16"/>
  <sheetViews>
    <sheetView tabSelected="1" workbookViewId="0">
      <selection sqref="A1:XFD1"/>
    </sheetView>
  </sheetViews>
  <sheetFormatPr defaultRowHeight="14.5" x14ac:dyDescent="0.35"/>
  <cols>
    <col min="1" max="1" width="7.453125" bestFit="1" customWidth="1"/>
    <col min="2" max="2" width="5.6328125" bestFit="1" customWidth="1"/>
    <col min="3" max="3" width="12.90625" bestFit="1" customWidth="1"/>
    <col min="4" max="5" width="7.36328125" bestFit="1" customWidth="1"/>
    <col min="6" max="6" width="15" bestFit="1" customWidth="1"/>
    <col min="7" max="7" width="8.1796875" bestFit="1" customWidth="1"/>
    <col min="8" max="8" width="6.90625" bestFit="1" customWidth="1"/>
    <col min="9" max="9" width="14.54296875" bestFit="1" customWidth="1"/>
    <col min="10" max="10" width="22.453125" bestFit="1" customWidth="1"/>
    <col min="11" max="11" width="13.81640625" bestFit="1" customWidth="1"/>
    <col min="12" max="12" width="14.453125" bestFit="1" customWidth="1"/>
    <col min="13" max="13" width="6.08984375" bestFit="1" customWidth="1"/>
    <col min="14" max="14" width="6.81640625" bestFit="1" customWidth="1"/>
    <col min="15" max="15" width="6.6328125" bestFit="1" customWidth="1"/>
    <col min="16" max="16" width="8" bestFit="1" customWidth="1"/>
    <col min="17" max="17" width="9" bestFit="1" customWidth="1"/>
    <col min="18" max="18" width="5.54296875" bestFit="1" customWidth="1"/>
    <col min="19" max="19" width="7.26953125" bestFit="1" customWidth="1"/>
    <col min="20" max="20" width="8" bestFit="1" customWidth="1"/>
    <col min="21" max="21" width="8.08984375" bestFit="1" customWidth="1"/>
    <col min="22" max="22" width="8.36328125" bestFit="1" customWidth="1"/>
    <col min="23" max="23" width="9.6328125" bestFit="1" customWidth="1"/>
    <col min="24" max="24" width="7.453125" bestFit="1" customWidth="1"/>
    <col min="25" max="25" width="7.7265625" bestFit="1" customWidth="1"/>
    <col min="27" max="27" width="10.7265625" bestFit="1" customWidth="1"/>
    <col min="28" max="28" width="13.7265625" bestFit="1" customWidth="1"/>
    <col min="29" max="29" width="8.6328125" bestFit="1" customWidth="1"/>
    <col min="30" max="30" width="8.90625" bestFit="1" customWidth="1"/>
    <col min="31" max="31" width="21.81640625" bestFit="1" customWidth="1"/>
    <col min="32" max="32" width="17.1796875" bestFit="1" customWidth="1"/>
    <col min="33" max="33" width="17.36328125" bestFit="1" customWidth="1"/>
    <col min="34" max="34" width="7" bestFit="1" customWidth="1"/>
    <col min="35" max="35" width="8.90625" bestFit="1" customWidth="1"/>
    <col min="36" max="36" width="7.36328125" bestFit="1" customWidth="1"/>
    <col min="37" max="37" width="9.08984375" bestFit="1" customWidth="1"/>
    <col min="38" max="38" width="21.54296875" bestFit="1" customWidth="1"/>
    <col min="39" max="39" width="12.6328125" bestFit="1" customWidth="1"/>
    <col min="40" max="40" width="31.54296875" bestFit="1" customWidth="1"/>
    <col min="41" max="41" width="11.08984375" bestFit="1" customWidth="1"/>
    <col min="42" max="42" width="25.81640625" bestFit="1" customWidth="1"/>
    <col min="43" max="43" width="21.90625" bestFit="1" customWidth="1"/>
    <col min="44" max="44" width="24" bestFit="1" customWidth="1"/>
    <col min="45" max="45" width="17.6328125" bestFit="1" customWidth="1"/>
    <col min="46" max="46" width="40" bestFit="1" customWidth="1"/>
    <col min="47" max="47" width="21.08984375" bestFit="1" customWidth="1"/>
    <col min="48" max="48" width="22.08984375" bestFit="1" customWidth="1"/>
    <col min="49" max="49" width="28.90625" bestFit="1" customWidth="1"/>
    <col min="50" max="50" width="32" bestFit="1" customWidth="1"/>
    <col min="51" max="51" width="34.90625" bestFit="1" customWidth="1"/>
    <col min="52" max="52" width="31.36328125" bestFit="1" customWidth="1"/>
    <col min="53" max="53" width="23.54296875" bestFit="1" customWidth="1"/>
    <col min="54" max="54" width="24.08984375" bestFit="1" customWidth="1"/>
    <col min="55" max="55" width="31.81640625" bestFit="1" customWidth="1"/>
    <col min="56" max="56" width="34.90625" bestFit="1" customWidth="1"/>
    <col min="57" max="57" width="19.26953125" bestFit="1" customWidth="1"/>
    <col min="58" max="58" width="31" bestFit="1" customWidth="1"/>
    <col min="59" max="59" width="41.81640625" bestFit="1" customWidth="1"/>
    <col min="60" max="60" width="32" bestFit="1" customWidth="1"/>
    <col min="61" max="61" width="19.26953125" bestFit="1" customWidth="1"/>
    <col min="62" max="62" width="14.1796875" bestFit="1" customWidth="1"/>
    <col min="63" max="63" width="21.453125" bestFit="1" customWidth="1"/>
    <col min="64" max="64" width="30" bestFit="1" customWidth="1"/>
    <col min="65" max="65" width="17.81640625" bestFit="1" customWidth="1"/>
    <col min="66" max="66" width="18.7265625" bestFit="1" customWidth="1"/>
    <col min="67" max="67" width="16.453125" bestFit="1" customWidth="1"/>
    <col min="68" max="68" width="14.08984375" bestFit="1" customWidth="1"/>
    <col min="69" max="69" width="27.54296875" bestFit="1" customWidth="1"/>
    <col min="70" max="70" width="10.453125" bestFit="1" customWidth="1"/>
    <col min="71" max="71" width="12.90625" bestFit="1" customWidth="1"/>
    <col min="72" max="72" width="9.6328125" bestFit="1" customWidth="1"/>
    <col min="73" max="73" width="12.90625" bestFit="1" customWidth="1"/>
    <col min="74" max="74" width="17" bestFit="1" customWidth="1"/>
    <col min="75" max="75" width="25.36328125" bestFit="1" customWidth="1"/>
    <col min="76" max="76" width="17.26953125" bestFit="1" customWidth="1"/>
    <col min="77" max="77" width="25.36328125" bestFit="1" customWidth="1"/>
    <col min="78" max="78" width="7.36328125" bestFit="1" customWidth="1"/>
    <col min="79" max="79" width="19.54296875" bestFit="1" customWidth="1"/>
  </cols>
  <sheetData>
    <row r="1" spans="1:7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2" t="s">
        <v>77</v>
      </c>
      <c r="CA1" s="1" t="s">
        <v>78</v>
      </c>
    </row>
    <row r="2" spans="1:79" x14ac:dyDescent="0.35">
      <c r="A2" t="s">
        <v>79</v>
      </c>
      <c r="B2">
        <v>1</v>
      </c>
      <c r="C2">
        <v>25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>
        <v>30</v>
      </c>
      <c r="J2" t="s">
        <v>82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90</v>
      </c>
      <c r="AD2" t="s">
        <v>90</v>
      </c>
      <c r="AE2">
        <v>2</v>
      </c>
      <c r="AF2">
        <v>2</v>
      </c>
      <c r="AG2" t="s">
        <v>91</v>
      </c>
      <c r="AH2" t="s">
        <v>92</v>
      </c>
      <c r="AI2" t="s">
        <v>93</v>
      </c>
      <c r="AJ2" t="s">
        <v>94</v>
      </c>
      <c r="AK2">
        <v>1</v>
      </c>
      <c r="AL2" t="s">
        <v>95</v>
      </c>
      <c r="AM2" t="s">
        <v>89</v>
      </c>
      <c r="AN2" t="s">
        <v>96</v>
      </c>
      <c r="AO2" t="s">
        <v>89</v>
      </c>
      <c r="AP2" t="s">
        <v>89</v>
      </c>
      <c r="AQ2" t="s">
        <v>97</v>
      </c>
      <c r="AR2" t="s">
        <v>98</v>
      </c>
      <c r="AS2" t="s">
        <v>99</v>
      </c>
      <c r="AT2" t="s">
        <v>89</v>
      </c>
      <c r="AU2" t="s">
        <v>100</v>
      </c>
      <c r="AV2" t="s">
        <v>101</v>
      </c>
      <c r="AW2" t="s">
        <v>102</v>
      </c>
      <c r="AX2" t="s">
        <v>103</v>
      </c>
      <c r="AY2" t="s">
        <v>104</v>
      </c>
      <c r="AZ2" t="s">
        <v>89</v>
      </c>
      <c r="BA2" t="s">
        <v>89</v>
      </c>
      <c r="BB2" t="s">
        <v>105</v>
      </c>
      <c r="BC2" t="s">
        <v>90</v>
      </c>
      <c r="BE2" t="s">
        <v>89</v>
      </c>
      <c r="BG2" t="s">
        <v>89</v>
      </c>
      <c r="BH2" t="s">
        <v>106</v>
      </c>
      <c r="BI2" s="3" t="s">
        <v>107</v>
      </c>
      <c r="BJ2" t="s">
        <v>108</v>
      </c>
      <c r="BK2" t="s">
        <v>109</v>
      </c>
      <c r="BL2" t="s">
        <v>110</v>
      </c>
      <c r="BM2" t="s">
        <v>89</v>
      </c>
      <c r="BN2" t="s">
        <v>89</v>
      </c>
      <c r="BO2" t="s">
        <v>104</v>
      </c>
      <c r="BP2" t="s">
        <v>111</v>
      </c>
      <c r="BR2">
        <v>103.2</v>
      </c>
      <c r="BS2" t="s">
        <v>112</v>
      </c>
      <c r="BT2">
        <v>15.8</v>
      </c>
      <c r="BU2" t="s">
        <v>113</v>
      </c>
      <c r="BV2">
        <v>13.8</v>
      </c>
      <c r="BW2" t="s">
        <v>114</v>
      </c>
      <c r="BX2">
        <v>49.9</v>
      </c>
      <c r="BY2" t="s">
        <v>112</v>
      </c>
      <c r="BZ2" s="4" cm="1">
        <f t="array" ref="BZ2">_xlfn.NUMBERVALUE(_xlfn.IFS(AND(ISNUMBER(SEARCH("year",AG2)), ISNUMBER(SEARCH("month",AG2))), TRIM(MID(AG2,1,2)*12)+MID(AG2,FIND(" ", AG2, FIND(" ", AG2,FIND(" ", AG2)+1)),2),AND(ISNUMBER(SEARCH("year",AG2)),TRIM(MID(AG2,1,2))&gt;=2),TRIM(MID(AG2,1,2))*12,ISERROR( SEARCH("Year",AG2)), TRIM(MID(AG2,1,2))))</f>
        <v>48</v>
      </c>
      <c r="CA2" t="s">
        <v>91</v>
      </c>
    </row>
    <row r="3" spans="1:79" x14ac:dyDescent="0.35">
      <c r="A3" t="s">
        <v>115</v>
      </c>
      <c r="B3">
        <v>2</v>
      </c>
      <c r="C3">
        <v>26</v>
      </c>
      <c r="D3" t="s">
        <v>116</v>
      </c>
      <c r="E3" t="s">
        <v>81</v>
      </c>
      <c r="F3" t="s">
        <v>117</v>
      </c>
      <c r="G3" t="s">
        <v>118</v>
      </c>
      <c r="H3" t="s">
        <v>84</v>
      </c>
      <c r="I3">
        <v>29</v>
      </c>
      <c r="J3" t="s">
        <v>117</v>
      </c>
      <c r="K3" t="s">
        <v>119</v>
      </c>
      <c r="L3" t="s">
        <v>120</v>
      </c>
      <c r="M3" t="s">
        <v>121</v>
      </c>
      <c r="N3" t="s">
        <v>122</v>
      </c>
      <c r="O3" t="s">
        <v>89</v>
      </c>
      <c r="P3" t="s">
        <v>89</v>
      </c>
      <c r="Q3" t="s">
        <v>90</v>
      </c>
      <c r="R3" t="s">
        <v>89</v>
      </c>
      <c r="S3" t="s">
        <v>90</v>
      </c>
      <c r="T3" t="s">
        <v>89</v>
      </c>
      <c r="U3" t="s">
        <v>90</v>
      </c>
      <c r="V3" t="s">
        <v>89</v>
      </c>
      <c r="W3" t="s">
        <v>89</v>
      </c>
      <c r="X3" t="s">
        <v>89</v>
      </c>
      <c r="Y3" t="s">
        <v>90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>
        <v>2</v>
      </c>
      <c r="AF3">
        <v>2</v>
      </c>
      <c r="AG3" t="s">
        <v>123</v>
      </c>
      <c r="AH3" t="s">
        <v>124</v>
      </c>
      <c r="AI3" t="s">
        <v>93</v>
      </c>
      <c r="AJ3" t="s">
        <v>125</v>
      </c>
      <c r="AK3">
        <v>1</v>
      </c>
      <c r="AL3" t="s">
        <v>95</v>
      </c>
      <c r="AM3" t="s">
        <v>89</v>
      </c>
      <c r="AN3" t="s">
        <v>96</v>
      </c>
      <c r="AO3" t="s">
        <v>89</v>
      </c>
      <c r="AP3" t="s">
        <v>89</v>
      </c>
      <c r="AQ3" t="s">
        <v>126</v>
      </c>
      <c r="AR3" t="s">
        <v>127</v>
      </c>
      <c r="AS3" t="s">
        <v>99</v>
      </c>
      <c r="AT3" t="s">
        <v>89</v>
      </c>
      <c r="AU3" t="s">
        <v>100</v>
      </c>
      <c r="AV3" t="s">
        <v>128</v>
      </c>
      <c r="AW3" t="s">
        <v>102</v>
      </c>
      <c r="AX3" t="s">
        <v>103</v>
      </c>
      <c r="AY3" t="s">
        <v>104</v>
      </c>
      <c r="AZ3" t="s">
        <v>89</v>
      </c>
      <c r="BA3" t="s">
        <v>129</v>
      </c>
      <c r="BB3" t="s">
        <v>105</v>
      </c>
      <c r="BC3" t="s">
        <v>89</v>
      </c>
      <c r="BD3" t="s">
        <v>130</v>
      </c>
      <c r="BE3" t="s">
        <v>89</v>
      </c>
      <c r="BG3" t="s">
        <v>89</v>
      </c>
      <c r="BH3" t="s">
        <v>131</v>
      </c>
      <c r="BI3" s="3" t="s">
        <v>132</v>
      </c>
      <c r="BJ3" t="s">
        <v>108</v>
      </c>
      <c r="BK3" t="s">
        <v>133</v>
      </c>
      <c r="BL3" t="s">
        <v>134</v>
      </c>
      <c r="BM3" t="s">
        <v>89</v>
      </c>
      <c r="BN3" t="s">
        <v>89</v>
      </c>
      <c r="BO3" t="s">
        <v>104</v>
      </c>
      <c r="BP3" t="s">
        <v>135</v>
      </c>
      <c r="BR3">
        <v>101</v>
      </c>
      <c r="BS3" t="s">
        <v>112</v>
      </c>
      <c r="BT3">
        <v>15</v>
      </c>
      <c r="BU3" t="s">
        <v>112</v>
      </c>
      <c r="BV3">
        <v>14</v>
      </c>
      <c r="BW3" t="s">
        <v>112</v>
      </c>
      <c r="BX3">
        <v>51</v>
      </c>
      <c r="BY3" t="s">
        <v>112</v>
      </c>
      <c r="BZ3" s="4" cm="1">
        <f t="array" ref="BZ3">_xlfn.NUMBERVALUE(_xlfn.IFS(AND(ISNUMBER(SEARCH("year",AG3)), ISNUMBER(SEARCH("month",AG3))), TRIM(MID(AG3,1,2)*12)+MID(AG3,FIND(" ", AG3, FIND(" ", AG3,FIND(" ", AG3)+1)),2),AND(ISNUMBER(SEARCH("year",AG3)),TRIM(MID(AG3,1,2))&gt;=2),TRIM(MID(AG3,1,2))*12,ISERROR( SEARCH("Year",AG3)), TRIM(MID(AG3,1,2))))</f>
        <v>36</v>
      </c>
      <c r="CA3" t="s">
        <v>123</v>
      </c>
    </row>
    <row r="4" spans="1:79" x14ac:dyDescent="0.35">
      <c r="A4" t="s">
        <v>136</v>
      </c>
      <c r="B4">
        <v>3</v>
      </c>
      <c r="C4">
        <v>23</v>
      </c>
      <c r="D4" t="s">
        <v>80</v>
      </c>
      <c r="E4" t="s">
        <v>137</v>
      </c>
      <c r="F4" t="s">
        <v>138</v>
      </c>
      <c r="G4" t="s">
        <v>139</v>
      </c>
      <c r="H4" t="s">
        <v>84</v>
      </c>
      <c r="I4">
        <v>30</v>
      </c>
      <c r="J4" t="s">
        <v>122</v>
      </c>
      <c r="K4" t="s">
        <v>140</v>
      </c>
      <c r="L4" t="s">
        <v>120</v>
      </c>
      <c r="M4" t="s">
        <v>121</v>
      </c>
      <c r="N4" t="s">
        <v>141</v>
      </c>
      <c r="O4" t="s">
        <v>89</v>
      </c>
      <c r="P4" t="s">
        <v>90</v>
      </c>
      <c r="Q4" t="s">
        <v>90</v>
      </c>
      <c r="R4" t="s">
        <v>89</v>
      </c>
      <c r="S4" t="s">
        <v>90</v>
      </c>
      <c r="T4" t="s">
        <v>89</v>
      </c>
      <c r="U4" t="s">
        <v>90</v>
      </c>
      <c r="V4" t="s">
        <v>90</v>
      </c>
      <c r="W4" t="s">
        <v>90</v>
      </c>
      <c r="X4" t="s">
        <v>90</v>
      </c>
      <c r="Y4" t="s">
        <v>90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>
        <v>5</v>
      </c>
      <c r="AF4">
        <v>3</v>
      </c>
      <c r="AG4" t="s">
        <v>91</v>
      </c>
      <c r="AH4" t="s">
        <v>124</v>
      </c>
      <c r="AI4" t="s">
        <v>142</v>
      </c>
      <c r="AJ4" t="s">
        <v>94</v>
      </c>
      <c r="AK4">
        <v>4</v>
      </c>
      <c r="AL4" t="s">
        <v>95</v>
      </c>
      <c r="AM4" t="s">
        <v>89</v>
      </c>
      <c r="AN4" t="s">
        <v>143</v>
      </c>
      <c r="AO4" t="s">
        <v>144</v>
      </c>
      <c r="AP4" t="s">
        <v>89</v>
      </c>
      <c r="AQ4" t="s">
        <v>97</v>
      </c>
      <c r="AR4" t="s">
        <v>127</v>
      </c>
      <c r="AS4" t="s">
        <v>99</v>
      </c>
      <c r="AT4" t="s">
        <v>89</v>
      </c>
      <c r="AU4" t="s">
        <v>100</v>
      </c>
      <c r="AV4" t="s">
        <v>101</v>
      </c>
      <c r="AW4" t="s">
        <v>102</v>
      </c>
      <c r="AX4" t="s">
        <v>103</v>
      </c>
      <c r="AY4" t="s">
        <v>104</v>
      </c>
      <c r="AZ4" t="s">
        <v>89</v>
      </c>
      <c r="BA4" t="s">
        <v>129</v>
      </c>
      <c r="BB4" t="s">
        <v>105</v>
      </c>
      <c r="BC4" t="s">
        <v>90</v>
      </c>
      <c r="BE4" t="s">
        <v>89</v>
      </c>
      <c r="BG4" t="s">
        <v>89</v>
      </c>
      <c r="BH4" t="s">
        <v>145</v>
      </c>
      <c r="BI4" s="3" t="s">
        <v>146</v>
      </c>
      <c r="BJ4" t="s">
        <v>147</v>
      </c>
      <c r="BK4" t="s">
        <v>148</v>
      </c>
      <c r="BL4" t="s">
        <v>149</v>
      </c>
      <c r="BM4" t="s">
        <v>89</v>
      </c>
      <c r="BN4" t="s">
        <v>90</v>
      </c>
      <c r="BO4" t="s">
        <v>104</v>
      </c>
      <c r="BP4" t="s">
        <v>135</v>
      </c>
      <c r="BR4">
        <v>104</v>
      </c>
      <c r="BS4" t="s">
        <v>112</v>
      </c>
      <c r="BT4">
        <v>17.5</v>
      </c>
      <c r="BU4" t="s">
        <v>112</v>
      </c>
      <c r="BV4">
        <v>14</v>
      </c>
      <c r="BW4" t="s">
        <v>112</v>
      </c>
      <c r="BX4">
        <v>51.2</v>
      </c>
      <c r="BY4" t="s">
        <v>112</v>
      </c>
      <c r="BZ4" s="4" cm="1">
        <f t="array" ref="BZ4">_xlfn.NUMBERVALUE(_xlfn.IFS(AND(ISNUMBER(SEARCH("year",AG4)), ISNUMBER(SEARCH("month",AG4))), TRIM(MID(AG4,1,2)*12)+MID(AG4,FIND(" ", AG4, FIND(" ", AG4,FIND(" ", AG4)+1)),2),AND(ISNUMBER(SEARCH("year",AG4)),TRIM(MID(AG4,1,2))&gt;=2),TRIM(MID(AG4,1,2))*12,ISERROR( SEARCH("Year",AG4)), TRIM(MID(AG4,1,2))))</f>
        <v>48</v>
      </c>
      <c r="CA4" t="s">
        <v>91</v>
      </c>
    </row>
    <row r="5" spans="1:79" x14ac:dyDescent="0.35">
      <c r="A5" t="s">
        <v>150</v>
      </c>
      <c r="B5">
        <v>4</v>
      </c>
      <c r="C5">
        <v>24</v>
      </c>
      <c r="D5" t="s">
        <v>151</v>
      </c>
      <c r="E5" t="s">
        <v>81</v>
      </c>
      <c r="F5" t="s">
        <v>117</v>
      </c>
      <c r="G5" t="s">
        <v>152</v>
      </c>
      <c r="H5" t="s">
        <v>84</v>
      </c>
      <c r="I5">
        <v>32</v>
      </c>
      <c r="J5" t="s">
        <v>117</v>
      </c>
      <c r="K5" t="s">
        <v>153</v>
      </c>
      <c r="L5" t="s">
        <v>86</v>
      </c>
      <c r="M5" t="s">
        <v>121</v>
      </c>
      <c r="N5" t="s">
        <v>122</v>
      </c>
      <c r="O5" t="s">
        <v>89</v>
      </c>
      <c r="P5" t="s">
        <v>89</v>
      </c>
      <c r="Q5" t="s">
        <v>90</v>
      </c>
      <c r="R5" t="s">
        <v>90</v>
      </c>
      <c r="S5" t="s">
        <v>89</v>
      </c>
      <c r="T5" t="s">
        <v>89</v>
      </c>
      <c r="U5" t="s">
        <v>90</v>
      </c>
      <c r="V5" t="s">
        <v>89</v>
      </c>
      <c r="W5" t="s">
        <v>89</v>
      </c>
      <c r="X5" t="s">
        <v>89</v>
      </c>
      <c r="Y5" t="s">
        <v>89</v>
      </c>
      <c r="Z5" t="s">
        <v>90</v>
      </c>
      <c r="AA5" t="s">
        <v>90</v>
      </c>
      <c r="AB5" t="s">
        <v>90</v>
      </c>
      <c r="AC5" t="s">
        <v>90</v>
      </c>
      <c r="AD5" t="s">
        <v>90</v>
      </c>
      <c r="AE5">
        <v>2</v>
      </c>
      <c r="AF5">
        <v>2</v>
      </c>
      <c r="AG5" t="s">
        <v>154</v>
      </c>
      <c r="AH5" t="s">
        <v>92</v>
      </c>
      <c r="AI5" t="s">
        <v>93</v>
      </c>
      <c r="AJ5" t="s">
        <v>125</v>
      </c>
      <c r="AK5">
        <v>1</v>
      </c>
      <c r="AL5" t="s">
        <v>95</v>
      </c>
      <c r="AM5" t="s">
        <v>89</v>
      </c>
      <c r="AN5" t="s">
        <v>96</v>
      </c>
      <c r="AO5" t="s">
        <v>89</v>
      </c>
      <c r="AP5" t="s">
        <v>89</v>
      </c>
      <c r="AQ5" t="s">
        <v>97</v>
      </c>
      <c r="AR5" t="s">
        <v>98</v>
      </c>
      <c r="AS5" t="s">
        <v>99</v>
      </c>
      <c r="AT5" t="s">
        <v>89</v>
      </c>
      <c r="AU5" t="s">
        <v>100</v>
      </c>
      <c r="AV5" t="s">
        <v>128</v>
      </c>
      <c r="AW5" t="s">
        <v>102</v>
      </c>
      <c r="AX5" t="s">
        <v>103</v>
      </c>
      <c r="AY5" t="s">
        <v>104</v>
      </c>
      <c r="AZ5" t="s">
        <v>89</v>
      </c>
      <c r="BA5" t="s">
        <v>89</v>
      </c>
      <c r="BB5" t="s">
        <v>155</v>
      </c>
      <c r="BC5" t="s">
        <v>90</v>
      </c>
      <c r="BE5" t="s">
        <v>89</v>
      </c>
      <c r="BG5" t="s">
        <v>89</v>
      </c>
      <c r="BH5" t="s">
        <v>106</v>
      </c>
      <c r="BI5" s="3" t="s">
        <v>156</v>
      </c>
      <c r="BJ5" t="s">
        <v>108</v>
      </c>
      <c r="BK5" t="s">
        <v>109</v>
      </c>
      <c r="BL5" t="s">
        <v>157</v>
      </c>
      <c r="BM5" t="s">
        <v>89</v>
      </c>
      <c r="BN5" t="s">
        <v>89</v>
      </c>
      <c r="BO5" t="s">
        <v>104</v>
      </c>
      <c r="BP5" t="s">
        <v>135</v>
      </c>
      <c r="BR5">
        <v>87</v>
      </c>
      <c r="BS5" t="s">
        <v>112</v>
      </c>
      <c r="BT5">
        <v>11.6</v>
      </c>
      <c r="BU5" t="s">
        <v>112</v>
      </c>
      <c r="BV5">
        <v>15</v>
      </c>
      <c r="BW5" t="s">
        <v>112</v>
      </c>
      <c r="BX5">
        <v>48.3</v>
      </c>
      <c r="BY5" t="s">
        <v>112</v>
      </c>
      <c r="BZ5" s="4" cm="1">
        <f t="array" ref="BZ5">_xlfn.NUMBERVALUE(_xlfn.IFS(AND(ISNUMBER(SEARCH("year",AG5)), ISNUMBER(SEARCH("month",AG5))), TRIM(MID(AG5,1,2)*12)+MID(AG5,FIND(" ", AG5, FIND(" ", AG5,FIND(" ", AG5)+1)),2),AND(ISNUMBER(SEARCH("year",AG5)),TRIM(MID(AG5,1,2))&gt;=2),TRIM(MID(AG5,1,2))*12,ISERROR( SEARCH("Year",AG5)), TRIM(MID(AG5,1,2))))</f>
        <v>24</v>
      </c>
      <c r="CA5" t="s">
        <v>154</v>
      </c>
    </row>
    <row r="6" spans="1:79" x14ac:dyDescent="0.35">
      <c r="A6" t="s">
        <v>158</v>
      </c>
      <c r="B6">
        <v>5</v>
      </c>
      <c r="C6">
        <v>24</v>
      </c>
      <c r="D6" t="s">
        <v>151</v>
      </c>
      <c r="E6" t="s">
        <v>81</v>
      </c>
      <c r="F6" t="s">
        <v>117</v>
      </c>
      <c r="G6" t="s">
        <v>159</v>
      </c>
      <c r="H6" t="s">
        <v>160</v>
      </c>
      <c r="I6" t="s">
        <v>161</v>
      </c>
      <c r="J6" t="s">
        <v>122</v>
      </c>
      <c r="K6" t="s">
        <v>161</v>
      </c>
      <c r="M6" t="s">
        <v>121</v>
      </c>
      <c r="N6" t="s">
        <v>122</v>
      </c>
      <c r="O6" t="s">
        <v>89</v>
      </c>
      <c r="P6" t="s">
        <v>89</v>
      </c>
      <c r="Q6" t="s">
        <v>90</v>
      </c>
      <c r="R6" t="s">
        <v>90</v>
      </c>
      <c r="S6" t="s">
        <v>89</v>
      </c>
      <c r="T6" t="s">
        <v>89</v>
      </c>
      <c r="U6" t="s">
        <v>90</v>
      </c>
      <c r="V6" t="s">
        <v>89</v>
      </c>
      <c r="W6" t="s">
        <v>89</v>
      </c>
      <c r="X6" t="s">
        <v>89</v>
      </c>
      <c r="Y6" t="s">
        <v>89</v>
      </c>
      <c r="Z6" t="s">
        <v>90</v>
      </c>
      <c r="AA6" t="s">
        <v>90</v>
      </c>
      <c r="AB6" t="s">
        <v>90</v>
      </c>
      <c r="AC6" t="s">
        <v>90</v>
      </c>
      <c r="AD6" t="s">
        <v>90</v>
      </c>
      <c r="AE6">
        <v>2</v>
      </c>
      <c r="AF6">
        <v>2</v>
      </c>
      <c r="AG6" t="s">
        <v>154</v>
      </c>
      <c r="AH6" t="s">
        <v>92</v>
      </c>
      <c r="AI6" t="s">
        <v>93</v>
      </c>
      <c r="AJ6" t="s">
        <v>125</v>
      </c>
      <c r="AK6">
        <v>1</v>
      </c>
      <c r="AL6" t="s">
        <v>95</v>
      </c>
      <c r="AM6" t="s">
        <v>89</v>
      </c>
      <c r="AN6" t="s">
        <v>96</v>
      </c>
      <c r="AO6" t="s">
        <v>89</v>
      </c>
      <c r="AP6" t="s">
        <v>89</v>
      </c>
      <c r="AQ6" t="s">
        <v>97</v>
      </c>
      <c r="AR6" t="s">
        <v>98</v>
      </c>
      <c r="AS6" t="s">
        <v>99</v>
      </c>
      <c r="AT6" t="s">
        <v>89</v>
      </c>
      <c r="AU6" t="s">
        <v>100</v>
      </c>
      <c r="AV6" t="s">
        <v>128</v>
      </c>
      <c r="AW6" t="s">
        <v>102</v>
      </c>
      <c r="AX6" t="s">
        <v>103</v>
      </c>
      <c r="AY6" t="s">
        <v>104</v>
      </c>
      <c r="AZ6" t="s">
        <v>89</v>
      </c>
      <c r="BA6" t="s">
        <v>89</v>
      </c>
      <c r="BB6" t="s">
        <v>155</v>
      </c>
      <c r="BC6" t="s">
        <v>90</v>
      </c>
      <c r="BE6" t="s">
        <v>89</v>
      </c>
      <c r="BG6" t="s">
        <v>89</v>
      </c>
      <c r="BH6" t="s">
        <v>106</v>
      </c>
      <c r="BI6" s="3"/>
      <c r="BJ6" t="s">
        <v>108</v>
      </c>
      <c r="BK6" t="s">
        <v>162</v>
      </c>
      <c r="BL6" t="s">
        <v>157</v>
      </c>
      <c r="BM6" t="s">
        <v>89</v>
      </c>
      <c r="BN6" t="s">
        <v>89</v>
      </c>
      <c r="BO6" t="s">
        <v>104</v>
      </c>
      <c r="BP6" t="s">
        <v>135</v>
      </c>
      <c r="BR6">
        <v>87.3</v>
      </c>
      <c r="BS6" t="s">
        <v>112</v>
      </c>
      <c r="BT6">
        <v>11.9</v>
      </c>
      <c r="BU6" t="s">
        <v>112</v>
      </c>
      <c r="BV6">
        <v>15</v>
      </c>
      <c r="BW6" t="s">
        <v>112</v>
      </c>
      <c r="BX6">
        <v>48.5</v>
      </c>
      <c r="BY6" t="s">
        <v>112</v>
      </c>
      <c r="BZ6" s="4" cm="1">
        <f t="array" ref="BZ6">_xlfn.NUMBERVALUE(_xlfn.IFS(AND(ISNUMBER(SEARCH("year",AG6)), ISNUMBER(SEARCH("month",AG6))), TRIM(MID(AG6,1,2)*12)+MID(AG6,FIND(" ", AG6, FIND(" ", AG6,FIND(" ", AG6)+1)),2),AND(ISNUMBER(SEARCH("year",AG6)),TRIM(MID(AG6,1,2))&gt;=2),TRIM(MID(AG6,1,2))*12,ISERROR( SEARCH("Year",AG6)), TRIM(MID(AG6,1,2))))</f>
        <v>24</v>
      </c>
      <c r="CA6" t="s">
        <v>154</v>
      </c>
    </row>
    <row r="7" spans="1:79" x14ac:dyDescent="0.35">
      <c r="A7" t="s">
        <v>163</v>
      </c>
      <c r="B7">
        <v>6</v>
      </c>
      <c r="C7">
        <v>38</v>
      </c>
      <c r="D7" t="s">
        <v>151</v>
      </c>
      <c r="E7" t="s">
        <v>81</v>
      </c>
      <c r="F7" t="s">
        <v>117</v>
      </c>
      <c r="G7" t="s">
        <v>164</v>
      </c>
      <c r="H7" t="s">
        <v>84</v>
      </c>
      <c r="I7">
        <v>45</v>
      </c>
      <c r="J7" t="s">
        <v>82</v>
      </c>
      <c r="K7" t="s">
        <v>165</v>
      </c>
      <c r="L7" t="s">
        <v>166</v>
      </c>
      <c r="M7" t="s">
        <v>167</v>
      </c>
      <c r="N7" t="s">
        <v>88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90</v>
      </c>
      <c r="AD7" t="s">
        <v>89</v>
      </c>
      <c r="AE7">
        <v>3</v>
      </c>
      <c r="AF7">
        <v>3</v>
      </c>
      <c r="AG7" t="s">
        <v>168</v>
      </c>
      <c r="AH7" t="s">
        <v>92</v>
      </c>
      <c r="AI7" t="s">
        <v>93</v>
      </c>
      <c r="AJ7" t="s">
        <v>94</v>
      </c>
      <c r="AK7">
        <v>2</v>
      </c>
      <c r="AL7" t="s">
        <v>95</v>
      </c>
      <c r="AM7" t="s">
        <v>89</v>
      </c>
      <c r="AN7" t="s">
        <v>96</v>
      </c>
      <c r="AO7" t="s">
        <v>89</v>
      </c>
      <c r="AP7" t="s">
        <v>89</v>
      </c>
      <c r="AQ7" t="s">
        <v>97</v>
      </c>
      <c r="AR7" t="s">
        <v>98</v>
      </c>
      <c r="AS7" t="s">
        <v>99</v>
      </c>
      <c r="AT7" t="s">
        <v>89</v>
      </c>
      <c r="AU7" t="s">
        <v>100</v>
      </c>
      <c r="AV7" t="s">
        <v>128</v>
      </c>
      <c r="AW7" t="s">
        <v>102</v>
      </c>
      <c r="AX7" t="s">
        <v>103</v>
      </c>
      <c r="AY7" t="s">
        <v>104</v>
      </c>
      <c r="AZ7" t="s">
        <v>89</v>
      </c>
      <c r="BA7" t="s">
        <v>89</v>
      </c>
      <c r="BB7" t="s">
        <v>155</v>
      </c>
      <c r="BC7" t="s">
        <v>90</v>
      </c>
      <c r="BE7" t="s">
        <v>89</v>
      </c>
      <c r="BG7" t="s">
        <v>89</v>
      </c>
      <c r="BH7" t="s">
        <v>145</v>
      </c>
      <c r="BI7" s="3" t="s">
        <v>169</v>
      </c>
      <c r="BJ7" t="s">
        <v>108</v>
      </c>
      <c r="BK7" t="s">
        <v>109</v>
      </c>
      <c r="BL7" t="s">
        <v>170</v>
      </c>
      <c r="BM7" t="s">
        <v>89</v>
      </c>
      <c r="BN7" t="s">
        <v>89</v>
      </c>
      <c r="BO7" t="s">
        <v>104</v>
      </c>
      <c r="BP7" t="s">
        <v>111</v>
      </c>
      <c r="BR7">
        <v>111.3</v>
      </c>
      <c r="BS7" t="s">
        <v>112</v>
      </c>
      <c r="BT7">
        <v>18.7</v>
      </c>
      <c r="BU7" t="s">
        <v>112</v>
      </c>
      <c r="BV7">
        <v>18.100000000000001</v>
      </c>
      <c r="BW7" t="s">
        <v>112</v>
      </c>
      <c r="BX7">
        <v>49.9</v>
      </c>
      <c r="BY7" t="s">
        <v>112</v>
      </c>
      <c r="BZ7" s="4" cm="1">
        <f t="array" ref="BZ7">_xlfn.NUMBERVALUE(_xlfn.IFS(AND(ISNUMBER(SEARCH("year",AG7)), ISNUMBER(SEARCH("month",AG7))), TRIM(MID(AG7,1,2)*12)+MID(AG7,FIND(" ", AG7, FIND(" ", AG7,FIND(" ", AG7)+1)),2),AND(ISNUMBER(SEARCH("year",AG7)),TRIM(MID(AG7,1,2))&gt;=2),TRIM(MID(AG7,1,2))*12,ISERROR( SEARCH("Year",AG7)), TRIM(MID(AG7,1,2))))</f>
        <v>60</v>
      </c>
      <c r="CA7" t="s">
        <v>168</v>
      </c>
    </row>
    <row r="8" spans="1:79" x14ac:dyDescent="0.35">
      <c r="A8" t="s">
        <v>171</v>
      </c>
      <c r="B8">
        <v>7</v>
      </c>
      <c r="C8">
        <v>38</v>
      </c>
      <c r="D8" t="s">
        <v>151</v>
      </c>
      <c r="E8" t="s">
        <v>81</v>
      </c>
      <c r="F8" t="s">
        <v>117</v>
      </c>
      <c r="G8" t="s">
        <v>172</v>
      </c>
      <c r="H8" t="s">
        <v>84</v>
      </c>
      <c r="I8">
        <v>45</v>
      </c>
      <c r="J8" t="s">
        <v>82</v>
      </c>
      <c r="K8" t="s">
        <v>173</v>
      </c>
      <c r="L8" t="s">
        <v>166</v>
      </c>
      <c r="M8" t="s">
        <v>167</v>
      </c>
      <c r="N8" t="s">
        <v>88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90</v>
      </c>
      <c r="AD8" t="s">
        <v>89</v>
      </c>
      <c r="AE8">
        <v>3</v>
      </c>
      <c r="AF8">
        <v>3</v>
      </c>
      <c r="AG8" t="s">
        <v>168</v>
      </c>
      <c r="AH8" t="s">
        <v>92</v>
      </c>
      <c r="AI8" t="s">
        <v>174</v>
      </c>
      <c r="AJ8" t="s">
        <v>94</v>
      </c>
      <c r="AK8">
        <v>2</v>
      </c>
      <c r="AL8" t="s">
        <v>95</v>
      </c>
      <c r="AM8" t="s">
        <v>89</v>
      </c>
      <c r="AN8" t="s">
        <v>96</v>
      </c>
      <c r="AO8" t="s">
        <v>89</v>
      </c>
      <c r="AP8" t="s">
        <v>89</v>
      </c>
      <c r="AQ8" t="s">
        <v>97</v>
      </c>
      <c r="AR8" t="s">
        <v>98</v>
      </c>
      <c r="AS8" t="s">
        <v>99</v>
      </c>
      <c r="AT8" t="s">
        <v>89</v>
      </c>
      <c r="AU8" t="s">
        <v>100</v>
      </c>
      <c r="AV8" t="s">
        <v>128</v>
      </c>
      <c r="AW8" t="s">
        <v>102</v>
      </c>
      <c r="AX8" t="s">
        <v>103</v>
      </c>
      <c r="AY8" t="s">
        <v>104</v>
      </c>
      <c r="AZ8" t="s">
        <v>89</v>
      </c>
      <c r="BA8" t="s">
        <v>89</v>
      </c>
      <c r="BB8" t="s">
        <v>155</v>
      </c>
      <c r="BC8" t="s">
        <v>90</v>
      </c>
      <c r="BE8" t="s">
        <v>89</v>
      </c>
      <c r="BG8" t="s">
        <v>89</v>
      </c>
      <c r="BH8" t="s">
        <v>145</v>
      </c>
      <c r="BI8" s="3" t="s">
        <v>169</v>
      </c>
      <c r="BJ8" t="s">
        <v>108</v>
      </c>
      <c r="BK8" t="s">
        <v>148</v>
      </c>
      <c r="BL8" t="s">
        <v>170</v>
      </c>
      <c r="BM8" t="s">
        <v>89</v>
      </c>
      <c r="BN8" t="s">
        <v>89</v>
      </c>
      <c r="BO8" t="s">
        <v>104</v>
      </c>
      <c r="BP8" t="s">
        <v>111</v>
      </c>
      <c r="BR8">
        <v>111</v>
      </c>
      <c r="BS8" t="s">
        <v>112</v>
      </c>
      <c r="BT8">
        <v>18.600000000000001</v>
      </c>
      <c r="BU8" t="s">
        <v>112</v>
      </c>
      <c r="BV8">
        <v>18.2</v>
      </c>
      <c r="BW8" t="s">
        <v>112</v>
      </c>
      <c r="BX8">
        <v>51</v>
      </c>
      <c r="BY8" t="s">
        <v>112</v>
      </c>
      <c r="BZ8" s="4" cm="1">
        <f t="array" ref="BZ8">_xlfn.NUMBERVALUE(_xlfn.IFS(AND(ISNUMBER(SEARCH("year",AG8)), ISNUMBER(SEARCH("month",AG8))), TRIM(MID(AG8,1,2)*12)+MID(AG8,FIND(" ", AG8, FIND(" ", AG8,FIND(" ", AG8)+1)),2),AND(ISNUMBER(SEARCH("year",AG8)),TRIM(MID(AG8,1,2))&gt;=2),TRIM(MID(AG8,1,2))*12,ISERROR( SEARCH("Year",AG8)), TRIM(MID(AG8,1,2))))</f>
        <v>60</v>
      </c>
      <c r="CA8" t="s">
        <v>168</v>
      </c>
    </row>
    <row r="9" spans="1:79" x14ac:dyDescent="0.35">
      <c r="A9" t="s">
        <v>175</v>
      </c>
      <c r="B9">
        <v>8</v>
      </c>
      <c r="C9">
        <v>23</v>
      </c>
      <c r="D9" t="s">
        <v>151</v>
      </c>
      <c r="E9" t="s">
        <v>81</v>
      </c>
      <c r="F9" t="s">
        <v>117</v>
      </c>
      <c r="G9" t="s">
        <v>83</v>
      </c>
      <c r="H9" t="s">
        <v>84</v>
      </c>
      <c r="I9">
        <v>27</v>
      </c>
      <c r="J9" t="s">
        <v>117</v>
      </c>
      <c r="K9" t="s">
        <v>85</v>
      </c>
      <c r="L9" t="s">
        <v>86</v>
      </c>
      <c r="M9" t="s">
        <v>87</v>
      </c>
      <c r="N9" t="s">
        <v>122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>
        <v>2</v>
      </c>
      <c r="AF9">
        <v>2</v>
      </c>
      <c r="AG9" t="s">
        <v>154</v>
      </c>
      <c r="AH9" t="s">
        <v>92</v>
      </c>
      <c r="AI9" t="s">
        <v>174</v>
      </c>
      <c r="AJ9" t="s">
        <v>94</v>
      </c>
      <c r="AK9">
        <v>1</v>
      </c>
      <c r="AL9" t="s">
        <v>95</v>
      </c>
      <c r="AM9" t="s">
        <v>89</v>
      </c>
      <c r="AN9" t="s">
        <v>96</v>
      </c>
      <c r="AO9" t="s">
        <v>89</v>
      </c>
      <c r="AP9" t="s">
        <v>89</v>
      </c>
      <c r="AQ9" t="s">
        <v>97</v>
      </c>
      <c r="AR9" t="s">
        <v>98</v>
      </c>
      <c r="AS9" t="s">
        <v>99</v>
      </c>
      <c r="AT9" t="s">
        <v>89</v>
      </c>
      <c r="AU9" t="s">
        <v>100</v>
      </c>
      <c r="AV9" t="s">
        <v>128</v>
      </c>
      <c r="AW9" t="s">
        <v>102</v>
      </c>
      <c r="AX9" t="s">
        <v>103</v>
      </c>
      <c r="AY9" t="s">
        <v>104</v>
      </c>
      <c r="AZ9" t="s">
        <v>89</v>
      </c>
      <c r="BA9" t="s">
        <v>89</v>
      </c>
      <c r="BB9" t="s">
        <v>105</v>
      </c>
      <c r="BC9" t="s">
        <v>89</v>
      </c>
      <c r="BD9" t="s">
        <v>130</v>
      </c>
      <c r="BE9" t="s">
        <v>89</v>
      </c>
      <c r="BG9" t="s">
        <v>89</v>
      </c>
      <c r="BH9" t="s">
        <v>106</v>
      </c>
      <c r="BI9" s="3" t="s">
        <v>156</v>
      </c>
      <c r="BJ9" t="s">
        <v>108</v>
      </c>
      <c r="BK9" t="s">
        <v>148</v>
      </c>
      <c r="BL9" t="s">
        <v>176</v>
      </c>
      <c r="BM9" t="s">
        <v>89</v>
      </c>
      <c r="BN9" t="s">
        <v>89</v>
      </c>
      <c r="BO9" t="s">
        <v>104</v>
      </c>
      <c r="BP9" t="s">
        <v>135</v>
      </c>
      <c r="BR9">
        <v>86.5</v>
      </c>
      <c r="BS9" t="s">
        <v>112</v>
      </c>
      <c r="BT9">
        <v>11.6</v>
      </c>
      <c r="BU9" t="s">
        <v>112</v>
      </c>
      <c r="BV9">
        <v>15.8</v>
      </c>
      <c r="BW9" t="s">
        <v>112</v>
      </c>
      <c r="BX9">
        <v>48</v>
      </c>
      <c r="BY9" t="s">
        <v>112</v>
      </c>
      <c r="BZ9" s="4" cm="1">
        <f t="array" ref="BZ9">_xlfn.NUMBERVALUE(_xlfn.IFS(AND(ISNUMBER(SEARCH("year",AG9)), ISNUMBER(SEARCH("month",AG9))), TRIM(MID(AG9,1,2)*12)+MID(AG9,FIND(" ", AG9, FIND(" ", AG9,FIND(" ", AG9)+1)),2),AND(ISNUMBER(SEARCH("year",AG9)),TRIM(MID(AG9,1,2))&gt;=2),TRIM(MID(AG9,1,2))*12,ISERROR( SEARCH("Year",AG9)), TRIM(MID(AG9,1,2))))</f>
        <v>24</v>
      </c>
      <c r="CA9" t="s">
        <v>154</v>
      </c>
    </row>
    <row r="10" spans="1:79" x14ac:dyDescent="0.35">
      <c r="A10" t="s">
        <v>177</v>
      </c>
      <c r="B10">
        <v>9</v>
      </c>
      <c r="C10">
        <v>32</v>
      </c>
      <c r="D10" t="s">
        <v>116</v>
      </c>
      <c r="E10" t="s">
        <v>81</v>
      </c>
      <c r="F10" t="s">
        <v>117</v>
      </c>
      <c r="G10" t="s">
        <v>172</v>
      </c>
      <c r="H10" t="s">
        <v>84</v>
      </c>
      <c r="I10">
        <v>35</v>
      </c>
      <c r="J10" t="s">
        <v>117</v>
      </c>
      <c r="K10" t="s">
        <v>83</v>
      </c>
      <c r="L10" t="s">
        <v>178</v>
      </c>
      <c r="M10" t="s">
        <v>167</v>
      </c>
      <c r="N10" t="s">
        <v>179</v>
      </c>
      <c r="O10" t="s">
        <v>89</v>
      </c>
      <c r="P10" t="s">
        <v>89</v>
      </c>
      <c r="Q10" t="s">
        <v>90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90</v>
      </c>
      <c r="AB10" t="s">
        <v>90</v>
      </c>
      <c r="AC10" t="s">
        <v>90</v>
      </c>
      <c r="AD10" t="s">
        <v>90</v>
      </c>
      <c r="AE10">
        <v>2</v>
      </c>
      <c r="AF10">
        <v>2</v>
      </c>
      <c r="AG10" t="s">
        <v>168</v>
      </c>
      <c r="AH10" t="s">
        <v>92</v>
      </c>
      <c r="AI10" t="s">
        <v>174</v>
      </c>
      <c r="AJ10" t="s">
        <v>94</v>
      </c>
      <c r="AK10">
        <v>1</v>
      </c>
      <c r="AL10" t="s">
        <v>95</v>
      </c>
      <c r="AM10" t="s">
        <v>89</v>
      </c>
      <c r="AN10" t="s">
        <v>96</v>
      </c>
      <c r="AO10" t="s">
        <v>89</v>
      </c>
      <c r="AP10" t="s">
        <v>89</v>
      </c>
      <c r="AQ10" t="s">
        <v>97</v>
      </c>
      <c r="AR10" t="s">
        <v>98</v>
      </c>
      <c r="AS10" t="s">
        <v>99</v>
      </c>
      <c r="AT10" t="s">
        <v>89</v>
      </c>
      <c r="AU10" t="s">
        <v>100</v>
      </c>
      <c r="AV10" t="s">
        <v>128</v>
      </c>
      <c r="AW10" t="s">
        <v>102</v>
      </c>
      <c r="AX10" t="s">
        <v>103</v>
      </c>
      <c r="AY10" t="s">
        <v>104</v>
      </c>
      <c r="AZ10" t="s">
        <v>89</v>
      </c>
      <c r="BA10" t="s">
        <v>89</v>
      </c>
      <c r="BB10" t="s">
        <v>180</v>
      </c>
      <c r="BC10" t="s">
        <v>89</v>
      </c>
      <c r="BD10" t="s">
        <v>130</v>
      </c>
      <c r="BE10" t="s">
        <v>89</v>
      </c>
      <c r="BG10" t="s">
        <v>89</v>
      </c>
      <c r="BH10" t="s">
        <v>181</v>
      </c>
      <c r="BI10" s="3" t="s">
        <v>182</v>
      </c>
      <c r="BJ10" t="s">
        <v>108</v>
      </c>
      <c r="BK10" t="s">
        <v>162</v>
      </c>
      <c r="BL10" t="s">
        <v>183</v>
      </c>
      <c r="BM10" t="s">
        <v>89</v>
      </c>
      <c r="BN10" t="s">
        <v>89</v>
      </c>
      <c r="BO10" t="s">
        <v>104</v>
      </c>
      <c r="BP10" t="s">
        <v>111</v>
      </c>
      <c r="BR10">
        <v>111</v>
      </c>
      <c r="BS10" t="s">
        <v>112</v>
      </c>
      <c r="BT10">
        <v>19</v>
      </c>
      <c r="BU10" t="s">
        <v>112</v>
      </c>
      <c r="BV10">
        <v>18.100000000000001</v>
      </c>
      <c r="BW10" t="s">
        <v>112</v>
      </c>
      <c r="BX10">
        <v>51.4</v>
      </c>
      <c r="BY10" t="s">
        <v>112</v>
      </c>
      <c r="BZ10" s="4" cm="1">
        <f t="array" ref="BZ10">_xlfn.NUMBERVALUE(_xlfn.IFS(AND(ISNUMBER(SEARCH("year",AG10)), ISNUMBER(SEARCH("month",AG10))), TRIM(MID(AG10,1,2)*12)+MID(AG10,FIND(" ", AG10, FIND(" ", AG10,FIND(" ", AG10)+1)),2),AND(ISNUMBER(SEARCH("year",AG10)),TRIM(MID(AG10,1,2))&gt;=2),TRIM(MID(AG10,1,2))*12,ISERROR( SEARCH("Year",AG10)), TRIM(MID(AG10,1,2))))</f>
        <v>60</v>
      </c>
      <c r="CA10" t="s">
        <v>168</v>
      </c>
    </row>
    <row r="11" spans="1:79" x14ac:dyDescent="0.35">
      <c r="A11" t="s">
        <v>184</v>
      </c>
      <c r="B11">
        <v>10</v>
      </c>
      <c r="C11">
        <v>25</v>
      </c>
      <c r="D11" t="s">
        <v>151</v>
      </c>
      <c r="E11" t="s">
        <v>137</v>
      </c>
      <c r="F11" t="s">
        <v>117</v>
      </c>
      <c r="G11" t="s">
        <v>185</v>
      </c>
      <c r="H11" t="s">
        <v>84</v>
      </c>
      <c r="I11">
        <v>30</v>
      </c>
      <c r="J11" t="s">
        <v>138</v>
      </c>
      <c r="K11" t="s">
        <v>186</v>
      </c>
      <c r="L11" t="s">
        <v>166</v>
      </c>
      <c r="M11" t="s">
        <v>87</v>
      </c>
      <c r="N11" t="s">
        <v>122</v>
      </c>
      <c r="O11" t="s">
        <v>89</v>
      </c>
      <c r="P11" t="s">
        <v>89</v>
      </c>
      <c r="Q11" t="s">
        <v>90</v>
      </c>
      <c r="R11" t="s">
        <v>90</v>
      </c>
      <c r="S11" t="s">
        <v>90</v>
      </c>
      <c r="T11" t="s">
        <v>89</v>
      </c>
      <c r="U11" t="s">
        <v>90</v>
      </c>
      <c r="V11" t="s">
        <v>90</v>
      </c>
      <c r="W11" t="s">
        <v>89</v>
      </c>
      <c r="X11" t="s">
        <v>89</v>
      </c>
      <c r="Y11" t="s">
        <v>89</v>
      </c>
      <c r="Z11" t="s">
        <v>89</v>
      </c>
      <c r="AA11" t="s">
        <v>90</v>
      </c>
      <c r="AB11" t="s">
        <v>90</v>
      </c>
      <c r="AC11" t="s">
        <v>90</v>
      </c>
      <c r="AD11" t="s">
        <v>90</v>
      </c>
      <c r="AE11">
        <v>2</v>
      </c>
      <c r="AF11">
        <v>2</v>
      </c>
      <c r="AG11" t="s">
        <v>154</v>
      </c>
      <c r="AH11" t="s">
        <v>92</v>
      </c>
      <c r="AI11" t="s">
        <v>174</v>
      </c>
      <c r="AJ11" t="s">
        <v>94</v>
      </c>
      <c r="AK11">
        <v>1</v>
      </c>
      <c r="AL11" t="s">
        <v>95</v>
      </c>
      <c r="AM11" t="s">
        <v>89</v>
      </c>
      <c r="AN11" t="s">
        <v>96</v>
      </c>
      <c r="AO11" t="s">
        <v>89</v>
      </c>
      <c r="AP11" t="s">
        <v>89</v>
      </c>
      <c r="AQ11" t="s">
        <v>97</v>
      </c>
      <c r="AR11" t="s">
        <v>98</v>
      </c>
      <c r="AS11" t="s">
        <v>99</v>
      </c>
      <c r="AT11" t="s">
        <v>89</v>
      </c>
      <c r="AU11" t="s">
        <v>100</v>
      </c>
      <c r="AV11" t="s">
        <v>128</v>
      </c>
      <c r="AW11" t="s">
        <v>102</v>
      </c>
      <c r="AX11" t="s">
        <v>103</v>
      </c>
      <c r="AY11" t="s">
        <v>187</v>
      </c>
      <c r="AZ11" t="s">
        <v>90</v>
      </c>
      <c r="BA11" t="s">
        <v>89</v>
      </c>
      <c r="BB11" t="s">
        <v>155</v>
      </c>
      <c r="BC11" t="s">
        <v>89</v>
      </c>
      <c r="BD11" t="s">
        <v>130</v>
      </c>
      <c r="BE11" t="s">
        <v>89</v>
      </c>
      <c r="BG11" t="s">
        <v>89</v>
      </c>
      <c r="BH11" t="s">
        <v>106</v>
      </c>
      <c r="BI11" s="3" t="s">
        <v>156</v>
      </c>
      <c r="BJ11" t="s">
        <v>108</v>
      </c>
      <c r="BK11" t="s">
        <v>109</v>
      </c>
      <c r="BL11" t="s">
        <v>157</v>
      </c>
      <c r="BM11" t="s">
        <v>89</v>
      </c>
      <c r="BN11" t="s">
        <v>89</v>
      </c>
      <c r="BO11" t="s">
        <v>104</v>
      </c>
      <c r="BP11" t="s">
        <v>135</v>
      </c>
      <c r="BR11">
        <v>86.5</v>
      </c>
      <c r="BS11" t="s">
        <v>112</v>
      </c>
      <c r="BT11">
        <v>11.5</v>
      </c>
      <c r="BU11" t="s">
        <v>112</v>
      </c>
      <c r="BV11">
        <v>15.6</v>
      </c>
      <c r="BW11" t="s">
        <v>112</v>
      </c>
      <c r="BX11">
        <v>50</v>
      </c>
      <c r="BY11" t="s">
        <v>112</v>
      </c>
      <c r="BZ11" s="4" cm="1">
        <f t="array" ref="BZ11">_xlfn.NUMBERVALUE(_xlfn.IFS(AND(ISNUMBER(SEARCH("year",AG11)), ISNUMBER(SEARCH("month",AG11))), TRIM(MID(AG11,1,2)*12)+MID(AG11,FIND(" ", AG11, FIND(" ", AG11,FIND(" ", AG11)+1)),2),AND(ISNUMBER(SEARCH("year",AG11)),TRIM(MID(AG11,1,2))&gt;=2),TRIM(MID(AG11,1,2))*12,ISERROR( SEARCH("Year",AG11)), TRIM(MID(AG11,1,2))))</f>
        <v>24</v>
      </c>
      <c r="CA11" t="s">
        <v>154</v>
      </c>
    </row>
    <row r="12" spans="1:79" x14ac:dyDescent="0.35">
      <c r="A12" t="s">
        <v>188</v>
      </c>
      <c r="B12">
        <v>11</v>
      </c>
      <c r="C12">
        <v>25</v>
      </c>
      <c r="D12" t="s">
        <v>151</v>
      </c>
      <c r="E12" t="s">
        <v>137</v>
      </c>
      <c r="F12" t="s">
        <v>117</v>
      </c>
      <c r="G12" t="s">
        <v>185</v>
      </c>
      <c r="H12" t="s">
        <v>84</v>
      </c>
      <c r="I12">
        <v>30</v>
      </c>
      <c r="J12" t="s">
        <v>138</v>
      </c>
      <c r="K12" t="s">
        <v>189</v>
      </c>
      <c r="L12" t="s">
        <v>178</v>
      </c>
      <c r="M12" t="s">
        <v>87</v>
      </c>
      <c r="N12" t="s">
        <v>122</v>
      </c>
      <c r="O12" t="s">
        <v>89</v>
      </c>
      <c r="P12" t="s">
        <v>89</v>
      </c>
      <c r="Q12" t="s">
        <v>90</v>
      </c>
      <c r="R12" t="s">
        <v>89</v>
      </c>
      <c r="S12" t="s">
        <v>90</v>
      </c>
      <c r="T12" t="s">
        <v>89</v>
      </c>
      <c r="U12" t="s">
        <v>90</v>
      </c>
      <c r="V12" t="s">
        <v>90</v>
      </c>
      <c r="W12" t="s">
        <v>90</v>
      </c>
      <c r="X12" t="s">
        <v>89</v>
      </c>
      <c r="Y12" t="s">
        <v>89</v>
      </c>
      <c r="Z12" t="s">
        <v>90</v>
      </c>
      <c r="AA12" t="s">
        <v>90</v>
      </c>
      <c r="AB12" t="s">
        <v>90</v>
      </c>
      <c r="AC12" t="s">
        <v>90</v>
      </c>
      <c r="AD12" t="s">
        <v>90</v>
      </c>
      <c r="AE12">
        <v>2</v>
      </c>
      <c r="AF12">
        <v>2</v>
      </c>
      <c r="AG12" t="s">
        <v>145</v>
      </c>
      <c r="AH12" t="s">
        <v>92</v>
      </c>
      <c r="AI12" t="s">
        <v>174</v>
      </c>
      <c r="AJ12" t="s">
        <v>94</v>
      </c>
      <c r="AK12">
        <v>1</v>
      </c>
      <c r="AL12" t="s">
        <v>95</v>
      </c>
      <c r="AM12" t="s">
        <v>89</v>
      </c>
      <c r="AN12" t="s">
        <v>96</v>
      </c>
      <c r="AO12" t="s">
        <v>89</v>
      </c>
      <c r="AP12" t="s">
        <v>89</v>
      </c>
      <c r="AQ12" t="s">
        <v>97</v>
      </c>
      <c r="AR12" t="s">
        <v>98</v>
      </c>
      <c r="AS12" t="s">
        <v>99</v>
      </c>
      <c r="AT12" t="s">
        <v>89</v>
      </c>
      <c r="AU12" t="s">
        <v>100</v>
      </c>
      <c r="AV12" t="s">
        <v>128</v>
      </c>
      <c r="AW12" t="s">
        <v>102</v>
      </c>
      <c r="AX12" t="s">
        <v>103</v>
      </c>
      <c r="AY12" t="s">
        <v>187</v>
      </c>
      <c r="AZ12" t="s">
        <v>90</v>
      </c>
      <c r="BA12" t="s">
        <v>89</v>
      </c>
      <c r="BB12" t="s">
        <v>155</v>
      </c>
      <c r="BC12" t="s">
        <v>90</v>
      </c>
      <c r="BE12" t="s">
        <v>90</v>
      </c>
      <c r="BF12" t="s">
        <v>190</v>
      </c>
      <c r="BG12" t="s">
        <v>89</v>
      </c>
      <c r="BH12" t="s">
        <v>191</v>
      </c>
      <c r="BI12" s="3" t="s">
        <v>169</v>
      </c>
      <c r="BJ12" t="s">
        <v>108</v>
      </c>
      <c r="BK12" t="s">
        <v>162</v>
      </c>
      <c r="BL12" t="s">
        <v>192</v>
      </c>
      <c r="BM12" t="s">
        <v>90</v>
      </c>
      <c r="BN12" t="s">
        <v>90</v>
      </c>
      <c r="BO12" t="s">
        <v>187</v>
      </c>
      <c r="BP12" t="s">
        <v>135</v>
      </c>
      <c r="BR12">
        <v>69.3</v>
      </c>
      <c r="BS12" t="s">
        <v>112</v>
      </c>
      <c r="BT12">
        <v>7.9</v>
      </c>
      <c r="BU12" t="s">
        <v>112</v>
      </c>
      <c r="BV12">
        <v>16.899999999999999</v>
      </c>
      <c r="BW12" t="s">
        <v>112</v>
      </c>
      <c r="BX12">
        <v>42.8</v>
      </c>
      <c r="BY12" t="s">
        <v>112</v>
      </c>
      <c r="BZ12" s="4" cm="1">
        <f t="array" ref="BZ12">_xlfn.NUMBERVALUE(_xlfn.IFS(AND(ISNUMBER(SEARCH("year",AG12)), ISNUMBER(SEARCH("month",AG12))), TRIM(MID(AG12,1,2)*12)+MID(AG12,FIND(" ", AG12, FIND(" ", AG12,FIND(" ", AG12)+1)),2),AND(ISNUMBER(SEARCH("year",AG12)),TRIM(MID(AG12,1,2))&gt;=2),TRIM(MID(AG12,1,2))*12,ISERROR( SEARCH("Year",AG12)), TRIM(MID(AG12,1,2))))</f>
        <v>6</v>
      </c>
      <c r="CA12" t="s">
        <v>145</v>
      </c>
    </row>
    <row r="13" spans="1:79" x14ac:dyDescent="0.35">
      <c r="A13" t="s">
        <v>193</v>
      </c>
      <c r="B13">
        <v>12</v>
      </c>
      <c r="C13">
        <v>28</v>
      </c>
      <c r="D13" t="s">
        <v>194</v>
      </c>
      <c r="E13" t="s">
        <v>137</v>
      </c>
      <c r="F13" t="s">
        <v>138</v>
      </c>
      <c r="G13" t="s">
        <v>195</v>
      </c>
      <c r="H13" t="s">
        <v>84</v>
      </c>
      <c r="I13">
        <v>37</v>
      </c>
      <c r="J13" t="s">
        <v>117</v>
      </c>
      <c r="K13" t="s">
        <v>196</v>
      </c>
      <c r="L13" t="s">
        <v>166</v>
      </c>
      <c r="M13" t="s">
        <v>87</v>
      </c>
      <c r="N13" t="s">
        <v>122</v>
      </c>
      <c r="O13" t="s">
        <v>89</v>
      </c>
      <c r="P13" t="s">
        <v>90</v>
      </c>
      <c r="Q13" t="s">
        <v>90</v>
      </c>
      <c r="R13" t="s">
        <v>89</v>
      </c>
      <c r="S13" t="s">
        <v>90</v>
      </c>
      <c r="T13" t="s">
        <v>89</v>
      </c>
      <c r="U13" t="s">
        <v>90</v>
      </c>
      <c r="V13" t="s">
        <v>89</v>
      </c>
      <c r="W13" t="s">
        <v>89</v>
      </c>
      <c r="X13" t="s">
        <v>89</v>
      </c>
      <c r="Y13" t="s">
        <v>89</v>
      </c>
      <c r="Z13" t="s">
        <v>90</v>
      </c>
      <c r="AA13" t="s">
        <v>90</v>
      </c>
      <c r="AB13" t="s">
        <v>89</v>
      </c>
      <c r="AC13" t="s">
        <v>90</v>
      </c>
      <c r="AD13" t="s">
        <v>90</v>
      </c>
      <c r="AE13">
        <v>2</v>
      </c>
      <c r="AF13">
        <v>2</v>
      </c>
      <c r="AG13" t="s">
        <v>197</v>
      </c>
      <c r="AH13" t="s">
        <v>92</v>
      </c>
      <c r="AI13" t="s">
        <v>174</v>
      </c>
      <c r="AJ13" t="s">
        <v>94</v>
      </c>
      <c r="AK13">
        <v>1</v>
      </c>
      <c r="AL13" t="s">
        <v>95</v>
      </c>
      <c r="AM13" t="s">
        <v>89</v>
      </c>
      <c r="AN13" t="s">
        <v>96</v>
      </c>
      <c r="AO13" t="s">
        <v>144</v>
      </c>
      <c r="AP13" t="s">
        <v>90</v>
      </c>
      <c r="AQ13" t="s">
        <v>144</v>
      </c>
      <c r="AR13" t="s">
        <v>144</v>
      </c>
      <c r="AS13" t="s">
        <v>198</v>
      </c>
      <c r="AT13" t="s">
        <v>89</v>
      </c>
      <c r="AU13" t="s">
        <v>144</v>
      </c>
      <c r="AW13" t="s">
        <v>144</v>
      </c>
      <c r="AX13" t="s">
        <v>103</v>
      </c>
      <c r="AY13" t="s">
        <v>104</v>
      </c>
      <c r="AZ13" t="s">
        <v>89</v>
      </c>
      <c r="BA13" t="s">
        <v>90</v>
      </c>
      <c r="BB13" t="s">
        <v>155</v>
      </c>
      <c r="BC13" t="s">
        <v>90</v>
      </c>
      <c r="BE13" t="s">
        <v>89</v>
      </c>
      <c r="BG13" t="s">
        <v>89</v>
      </c>
      <c r="BH13" t="s">
        <v>181</v>
      </c>
      <c r="BI13" s="3" t="s">
        <v>156</v>
      </c>
      <c r="BJ13" t="s">
        <v>108</v>
      </c>
      <c r="BK13" t="s">
        <v>162</v>
      </c>
      <c r="BL13" t="s">
        <v>199</v>
      </c>
      <c r="BM13" t="s">
        <v>89</v>
      </c>
      <c r="BN13" t="s">
        <v>89</v>
      </c>
      <c r="BO13" t="s">
        <v>104</v>
      </c>
      <c r="BP13" t="s">
        <v>135</v>
      </c>
      <c r="BR13">
        <v>76</v>
      </c>
      <c r="BS13" t="s">
        <v>112</v>
      </c>
      <c r="BT13">
        <v>9</v>
      </c>
      <c r="BU13" t="s">
        <v>112</v>
      </c>
      <c r="BV13">
        <v>15</v>
      </c>
      <c r="BW13" t="s">
        <v>112</v>
      </c>
      <c r="BX13">
        <v>44.9</v>
      </c>
      <c r="BY13" t="s">
        <v>112</v>
      </c>
      <c r="BZ13" s="4" cm="1">
        <f t="array" ref="BZ13">_xlfn.NUMBERVALUE(_xlfn.IFS(AND(ISNUMBER(SEARCH("year",AG13)), ISNUMBER(SEARCH("month",AG13))), TRIM(MID(AG13,1,2)*12)+MID(AG13,FIND(" ", AG13, FIND(" ", AG13,FIND(" ", AG13)+1)),2),AND(ISNUMBER(SEARCH("year",AG13)),TRIM(MID(AG13,1,2))&gt;=2),TRIM(MID(AG13,1,2))*12,ISERROR( SEARCH("Year",AG13)), TRIM(MID(AG13,1,2))))</f>
        <v>12</v>
      </c>
      <c r="CA13" t="s">
        <v>197</v>
      </c>
    </row>
    <row r="14" spans="1:79" x14ac:dyDescent="0.35">
      <c r="A14" t="s">
        <v>200</v>
      </c>
      <c r="B14">
        <v>13</v>
      </c>
      <c r="C14">
        <v>28</v>
      </c>
      <c r="D14" t="s">
        <v>194</v>
      </c>
      <c r="E14" t="s">
        <v>137</v>
      </c>
      <c r="F14" t="s">
        <v>138</v>
      </c>
      <c r="G14" t="s">
        <v>201</v>
      </c>
      <c r="H14" t="s">
        <v>84</v>
      </c>
      <c r="I14">
        <v>37</v>
      </c>
      <c r="J14" t="s">
        <v>117</v>
      </c>
      <c r="K14" t="s">
        <v>83</v>
      </c>
      <c r="L14" t="s">
        <v>166</v>
      </c>
      <c r="M14" t="s">
        <v>87</v>
      </c>
      <c r="N14" t="s">
        <v>122</v>
      </c>
      <c r="O14" t="s">
        <v>89</v>
      </c>
      <c r="P14" t="s">
        <v>90</v>
      </c>
      <c r="Q14" t="s">
        <v>90</v>
      </c>
      <c r="R14" t="s">
        <v>89</v>
      </c>
      <c r="S14" t="s">
        <v>90</v>
      </c>
      <c r="T14" t="s">
        <v>89</v>
      </c>
      <c r="U14" t="s">
        <v>90</v>
      </c>
      <c r="V14" t="s">
        <v>90</v>
      </c>
      <c r="W14" t="s">
        <v>89</v>
      </c>
      <c r="X14" t="s">
        <v>89</v>
      </c>
      <c r="Y14" t="s">
        <v>89</v>
      </c>
      <c r="Z14" t="s">
        <v>90</v>
      </c>
      <c r="AA14" t="s">
        <v>90</v>
      </c>
      <c r="AB14" t="s">
        <v>89</v>
      </c>
      <c r="AC14" t="s">
        <v>90</v>
      </c>
      <c r="AD14" t="s">
        <v>90</v>
      </c>
      <c r="AE14">
        <v>2</v>
      </c>
      <c r="AF14">
        <v>2</v>
      </c>
      <c r="AG14" t="s">
        <v>123</v>
      </c>
      <c r="AH14" t="s">
        <v>92</v>
      </c>
      <c r="AI14" t="s">
        <v>174</v>
      </c>
      <c r="AJ14" t="s">
        <v>94</v>
      </c>
      <c r="AK14">
        <v>1</v>
      </c>
      <c r="AL14" t="s">
        <v>95</v>
      </c>
      <c r="AM14" t="s">
        <v>89</v>
      </c>
      <c r="AN14" t="s">
        <v>96</v>
      </c>
      <c r="AO14" t="s">
        <v>144</v>
      </c>
      <c r="AP14" t="s">
        <v>90</v>
      </c>
      <c r="AQ14" t="s">
        <v>144</v>
      </c>
      <c r="AR14" t="s">
        <v>144</v>
      </c>
      <c r="AS14" t="s">
        <v>198</v>
      </c>
      <c r="AT14" t="s">
        <v>89</v>
      </c>
      <c r="AU14" t="s">
        <v>144</v>
      </c>
      <c r="AW14" t="s">
        <v>144</v>
      </c>
      <c r="AX14" t="s">
        <v>103</v>
      </c>
      <c r="AY14" t="s">
        <v>104</v>
      </c>
      <c r="AZ14" t="s">
        <v>89</v>
      </c>
      <c r="BA14" t="s">
        <v>90</v>
      </c>
      <c r="BB14" t="s">
        <v>155</v>
      </c>
      <c r="BC14" t="s">
        <v>90</v>
      </c>
      <c r="BE14" t="s">
        <v>89</v>
      </c>
      <c r="BG14" t="s">
        <v>89</v>
      </c>
      <c r="BH14" t="s">
        <v>181</v>
      </c>
      <c r="BI14" s="3" t="s">
        <v>156</v>
      </c>
      <c r="BJ14" t="s">
        <v>108</v>
      </c>
      <c r="BK14" t="s">
        <v>162</v>
      </c>
      <c r="BL14" t="s">
        <v>157</v>
      </c>
      <c r="BM14" t="s">
        <v>89</v>
      </c>
      <c r="BN14" t="s">
        <v>89</v>
      </c>
      <c r="BO14" t="s">
        <v>104</v>
      </c>
      <c r="BP14" t="s">
        <v>135</v>
      </c>
      <c r="BR14">
        <v>95.8</v>
      </c>
      <c r="BS14" t="s">
        <v>112</v>
      </c>
      <c r="BT14">
        <v>14.3</v>
      </c>
      <c r="BU14" t="s">
        <v>112</v>
      </c>
      <c r="BV14">
        <v>16</v>
      </c>
      <c r="BW14" t="s">
        <v>112</v>
      </c>
      <c r="BX14">
        <v>48.9</v>
      </c>
      <c r="BY14" t="s">
        <v>112</v>
      </c>
      <c r="BZ14" s="4" cm="1">
        <f t="array" ref="BZ14">_xlfn.NUMBERVALUE(_xlfn.IFS(AND(ISNUMBER(SEARCH("year",AG14)), ISNUMBER(SEARCH("month",AG14))), TRIM(MID(AG14,1,2)*12)+MID(AG14,FIND(" ", AG14, FIND(" ", AG14,FIND(" ", AG14)+1)),2),AND(ISNUMBER(SEARCH("year",AG14)),TRIM(MID(AG14,1,2))&gt;=2),TRIM(MID(AG14,1,2))*12,ISERROR( SEARCH("Year",AG14)), TRIM(MID(AG14,1,2))))</f>
        <v>36</v>
      </c>
      <c r="CA14" t="s">
        <v>123</v>
      </c>
    </row>
    <row r="15" spans="1:79" x14ac:dyDescent="0.35">
      <c r="A15" t="s">
        <v>202</v>
      </c>
      <c r="B15">
        <v>14</v>
      </c>
      <c r="C15">
        <v>29</v>
      </c>
      <c r="D15" t="s">
        <v>203</v>
      </c>
      <c r="E15" t="s">
        <v>81</v>
      </c>
      <c r="F15" t="s">
        <v>117</v>
      </c>
      <c r="G15" t="s">
        <v>204</v>
      </c>
      <c r="H15" t="s">
        <v>84</v>
      </c>
      <c r="I15">
        <v>35</v>
      </c>
      <c r="J15" t="s">
        <v>117</v>
      </c>
      <c r="K15" t="s">
        <v>196</v>
      </c>
      <c r="L15" t="s">
        <v>166</v>
      </c>
      <c r="M15" t="s">
        <v>87</v>
      </c>
      <c r="N15" t="s">
        <v>122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90</v>
      </c>
      <c r="V15" t="s">
        <v>89</v>
      </c>
      <c r="W15" t="s">
        <v>90</v>
      </c>
      <c r="X15" t="s">
        <v>89</v>
      </c>
      <c r="Y15" t="s">
        <v>89</v>
      </c>
      <c r="Z15" t="s">
        <v>90</v>
      </c>
      <c r="AA15" t="s">
        <v>90</v>
      </c>
      <c r="AB15" t="s">
        <v>90</v>
      </c>
      <c r="AC15" t="s">
        <v>90</v>
      </c>
      <c r="AD15" t="s">
        <v>90</v>
      </c>
      <c r="AE15">
        <v>2</v>
      </c>
      <c r="AF15">
        <v>2</v>
      </c>
      <c r="AG15" t="s">
        <v>131</v>
      </c>
      <c r="AH15" t="s">
        <v>92</v>
      </c>
      <c r="AI15" t="s">
        <v>174</v>
      </c>
      <c r="AJ15" t="s">
        <v>94</v>
      </c>
      <c r="AK15">
        <v>1</v>
      </c>
      <c r="AL15" t="s">
        <v>95</v>
      </c>
      <c r="AM15" t="s">
        <v>89</v>
      </c>
      <c r="AN15" t="s">
        <v>96</v>
      </c>
      <c r="AO15" t="s">
        <v>89</v>
      </c>
      <c r="AQ15" t="s">
        <v>97</v>
      </c>
      <c r="AR15" t="s">
        <v>127</v>
      </c>
      <c r="AS15" t="s">
        <v>198</v>
      </c>
      <c r="AT15" t="s">
        <v>89</v>
      </c>
      <c r="AU15" t="s">
        <v>100</v>
      </c>
      <c r="AV15" t="s">
        <v>101</v>
      </c>
      <c r="AW15" t="s">
        <v>102</v>
      </c>
      <c r="AX15" t="s">
        <v>103</v>
      </c>
      <c r="AY15" t="s">
        <v>104</v>
      </c>
      <c r="AZ15" t="s">
        <v>90</v>
      </c>
      <c r="BA15" t="s">
        <v>89</v>
      </c>
      <c r="BB15" t="s">
        <v>155</v>
      </c>
      <c r="BC15" t="s">
        <v>90</v>
      </c>
      <c r="BE15" t="s">
        <v>89</v>
      </c>
      <c r="BG15" t="s">
        <v>89</v>
      </c>
      <c r="BH15" t="s">
        <v>131</v>
      </c>
      <c r="BI15" s="3" t="s">
        <v>205</v>
      </c>
      <c r="BJ15" t="s">
        <v>108</v>
      </c>
      <c r="BK15" t="s">
        <v>206</v>
      </c>
      <c r="BL15" t="s">
        <v>207</v>
      </c>
      <c r="BM15" t="s">
        <v>89</v>
      </c>
      <c r="BN15" t="s">
        <v>89</v>
      </c>
      <c r="BO15" t="s">
        <v>104</v>
      </c>
      <c r="BP15" t="s">
        <v>135</v>
      </c>
      <c r="BR15">
        <v>72.5</v>
      </c>
      <c r="BS15" t="s">
        <v>112</v>
      </c>
      <c r="BT15">
        <v>9.6999999999999993</v>
      </c>
      <c r="BU15" t="s">
        <v>112</v>
      </c>
      <c r="BV15">
        <v>14.8</v>
      </c>
      <c r="BW15" t="s">
        <v>112</v>
      </c>
      <c r="BX15">
        <v>44.6</v>
      </c>
      <c r="BY15" t="s">
        <v>112</v>
      </c>
      <c r="BZ15" s="4" cm="1">
        <f t="array" ref="BZ15">_xlfn.NUMBERVALUE(_xlfn.IFS(AND(ISNUMBER(SEARCH("year",AG15)), ISNUMBER(SEARCH("month",AG15))), TRIM(MID(AG15,1,2)*12)+MID(AG15,FIND(" ", AG15, FIND(" ", AG15,FIND(" ", AG15)+1)),2),AND(ISNUMBER(SEARCH("year",AG15)),TRIM(MID(AG15,1,2))&gt;=2),TRIM(MID(AG15,1,2))*12,ISERROR( SEARCH("Year",AG15)), TRIM(MID(AG15,1,2))))</f>
        <v>10</v>
      </c>
      <c r="CA15" t="s">
        <v>131</v>
      </c>
    </row>
    <row r="16" spans="1:79" x14ac:dyDescent="0.35">
      <c r="A16" t="s">
        <v>208</v>
      </c>
      <c r="B16">
        <v>15</v>
      </c>
      <c r="C16">
        <v>24</v>
      </c>
      <c r="D16" t="s">
        <v>151</v>
      </c>
      <c r="E16" t="s">
        <v>81</v>
      </c>
      <c r="F16" t="s">
        <v>117</v>
      </c>
      <c r="G16" t="s">
        <v>209</v>
      </c>
      <c r="H16" t="s">
        <v>84</v>
      </c>
      <c r="I16">
        <v>29</v>
      </c>
      <c r="J16" t="s">
        <v>117</v>
      </c>
      <c r="K16" t="s">
        <v>210</v>
      </c>
      <c r="L16" t="s">
        <v>120</v>
      </c>
      <c r="M16" t="s">
        <v>121</v>
      </c>
      <c r="N16" t="s">
        <v>122</v>
      </c>
      <c r="O16" t="s">
        <v>89</v>
      </c>
      <c r="P16" t="s">
        <v>89</v>
      </c>
      <c r="Q16" t="s">
        <v>90</v>
      </c>
      <c r="R16" t="s">
        <v>89</v>
      </c>
      <c r="S16" t="s">
        <v>90</v>
      </c>
      <c r="T16" t="s">
        <v>89</v>
      </c>
      <c r="U16" t="s">
        <v>90</v>
      </c>
      <c r="V16" t="s">
        <v>90</v>
      </c>
      <c r="W16" t="s">
        <v>89</v>
      </c>
      <c r="X16" t="s">
        <v>89</v>
      </c>
      <c r="Y16" t="s">
        <v>89</v>
      </c>
      <c r="Z16" t="s">
        <v>90</v>
      </c>
      <c r="AA16" t="s">
        <v>90</v>
      </c>
      <c r="AB16" t="s">
        <v>90</v>
      </c>
      <c r="AC16" t="s">
        <v>90</v>
      </c>
      <c r="AD16" t="s">
        <v>90</v>
      </c>
      <c r="AE16">
        <v>1</v>
      </c>
      <c r="AF16">
        <v>1</v>
      </c>
      <c r="AG16" t="s">
        <v>211</v>
      </c>
      <c r="AH16" t="s">
        <v>92</v>
      </c>
      <c r="AI16" t="s">
        <v>142</v>
      </c>
      <c r="AJ16" t="s">
        <v>94</v>
      </c>
      <c r="AK16">
        <v>0</v>
      </c>
      <c r="AL16" t="s">
        <v>95</v>
      </c>
      <c r="AM16" t="s">
        <v>89</v>
      </c>
      <c r="AN16" t="s">
        <v>96</v>
      </c>
      <c r="AO16" t="s">
        <v>89</v>
      </c>
      <c r="AP16" t="s">
        <v>89</v>
      </c>
      <c r="AQ16" t="s">
        <v>212</v>
      </c>
      <c r="AR16" t="s">
        <v>98</v>
      </c>
      <c r="AS16" t="s">
        <v>102</v>
      </c>
      <c r="AT16" t="s">
        <v>89</v>
      </c>
      <c r="AU16" t="s">
        <v>100</v>
      </c>
      <c r="AV16" t="s">
        <v>101</v>
      </c>
      <c r="AW16" t="s">
        <v>102</v>
      </c>
      <c r="AX16" t="s">
        <v>103</v>
      </c>
      <c r="AY16" t="s">
        <v>187</v>
      </c>
      <c r="AZ16" t="s">
        <v>89</v>
      </c>
      <c r="BA16" t="s">
        <v>89</v>
      </c>
      <c r="BB16" t="s">
        <v>105</v>
      </c>
      <c r="BC16" t="s">
        <v>90</v>
      </c>
      <c r="BE16" t="s">
        <v>89</v>
      </c>
      <c r="BG16" t="s">
        <v>90</v>
      </c>
      <c r="BI16" s="3"/>
      <c r="BQ16" t="s">
        <v>213</v>
      </c>
      <c r="BR16">
        <v>64</v>
      </c>
      <c r="BS16" t="s">
        <v>112</v>
      </c>
      <c r="BT16">
        <v>7.5</v>
      </c>
      <c r="BU16" t="s">
        <v>112</v>
      </c>
      <c r="BV16">
        <v>12.9</v>
      </c>
      <c r="BW16" t="s">
        <v>114</v>
      </c>
      <c r="BX16">
        <v>41.2</v>
      </c>
      <c r="BY16" t="s">
        <v>112</v>
      </c>
      <c r="BZ16" s="4" cm="1">
        <f t="array" ref="BZ16">_xlfn.NUMBERVALUE(_xlfn.IFS(AND(ISNUMBER(SEARCH("year",AG16)), ISNUMBER(SEARCH("month",AG16))), TRIM(MID(AG16,1,2)*12)+MID(AG16,FIND(" ", AG16, FIND(" ", AG16,FIND(" ", AG16)+1)),2),AND(ISNUMBER(SEARCH("year",AG16)),TRIM(MID(AG16,1,2))&gt;=2),TRIM(MID(AG16,1,2))*12,ISERROR( SEARCH("Year",AG16)), TRIM(MID(AG16,1,2))))</f>
        <v>4</v>
      </c>
      <c r="CA16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Andrew</dc:creator>
  <cp:lastModifiedBy>Donald Andrew</cp:lastModifiedBy>
  <dcterms:created xsi:type="dcterms:W3CDTF">2026-01-03T18:40:31Z</dcterms:created>
  <dcterms:modified xsi:type="dcterms:W3CDTF">2026-01-03T18:41:26Z</dcterms:modified>
</cp:coreProperties>
</file>